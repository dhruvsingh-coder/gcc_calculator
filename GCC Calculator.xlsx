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richa/Downloads/"/>
    </mc:Choice>
  </mc:AlternateContent>
  <xr:revisionPtr revIDLastSave="0" documentId="13_ncr:1_{E183B836-2B3B-494C-A8F1-214879535C86}" xr6:coauthVersionLast="47" xr6:coauthVersionMax="47" xr10:uidLastSave="{00000000-0000-0000-0000-000000000000}"/>
  <bookViews>
    <workbookView xWindow="0" yWindow="500" windowWidth="28800" windowHeight="15680" activeTab="4" xr2:uid="{CB138F6A-EC9D-414E-B6C6-34A66925CC01}"/>
  </bookViews>
  <sheets>
    <sheet name="Real est (w o markup)" sheetId="9" r:id="rId1"/>
    <sheet name="IT infra w o markup" sheetId="10" r:id="rId2"/>
    <sheet name="Plans w o markup" sheetId="11" r:id="rId3"/>
    <sheet name="Real_Estate" sheetId="1" r:id="rId4"/>
    <sheet name="IT_Infra" sheetId="2" r:id="rId5"/>
    <sheet name="Plans" sheetId="8" r:id="rId6"/>
    <sheet name="Lists_Helper" sheetId="5" state="hidden" r:id="rId7"/>
    <sheet name="Lookup_Helper" sheetId="6" state="hidden" r:id="rId8"/>
    <sheet name="Calculator" sheetId="7" r:id="rId9"/>
  </sheets>
  <definedNames>
    <definedName name="Cities_Tier1">Lookup_Helper!$D$2:$D$10</definedName>
    <definedName name="Cities_Tier2">Lookup_Helper!$E$2:$E$21</definedName>
    <definedName name="Cities_Tier3">Lookup_Helper!$F$2:$F$6</definedName>
    <definedName name="Enabling_INRpm">Calculator!$AC$14</definedName>
    <definedName name="Enabling_On">Calculator!$F$14</definedName>
    <definedName name="Headcount_List">Lists_Helper!$A$1:$A$20</definedName>
    <definedName name="HoursPM">Lookup_Helper!$J$3</definedName>
    <definedName name="IT_Infra_INRpm">Calculator!$AC$13</definedName>
    <definedName name="ITInfra_On">Calculator!$F$13</definedName>
    <definedName name="Plan_List">Lists_Helper!$G$1:$G$3</definedName>
    <definedName name="Real_Estate_INRpm">Calculator!$AC$12</definedName>
    <definedName name="RealEstate_On">Calculator!$F$12</definedName>
    <definedName name="Tech_On">Calculator!$F$15</definedName>
    <definedName name="Technology_INRpm">Calculator!$AC$15</definedName>
    <definedName name="Tier_List">Lists_Helper!$D$1:$D$3</definedName>
    <definedName name="USD_INR">Lookup_Helper!$J$2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3" i="10" l="1"/>
  <c r="F13" i="7" l="1"/>
  <c r="AC13" i="7" s="1"/>
  <c r="F14" i="7"/>
  <c r="AC14" i="7" s="1" a="1"/>
  <c r="AC14" i="7" s="1"/>
  <c r="F15" i="7"/>
  <c r="AC15" i="7" s="1" a="1"/>
  <c r="AC15" i="7" s="1"/>
  <c r="F12" i="7"/>
  <c r="AC12" i="7" s="1"/>
  <c r="A2" i="5"/>
  <c r="A3" i="5" s="1"/>
  <c r="A4" i="5" s="1"/>
  <c r="A5" i="5" s="1"/>
  <c r="A6" i="5" s="1"/>
  <c r="A7" i="5" s="1"/>
  <c r="A8" i="5" s="1"/>
  <c r="A9" i="5" s="1"/>
  <c r="A10" i="5" s="1"/>
  <c r="A11" i="5" s="1"/>
  <c r="A12" i="5" s="1"/>
  <c r="A13" i="5" s="1"/>
  <c r="A14" i="5" s="1"/>
  <c r="A15" i="5" s="1"/>
  <c r="A16" i="5" s="1"/>
  <c r="A17" i="5" s="1"/>
  <c r="A18" i="5" s="1"/>
  <c r="A19" i="5" s="1"/>
  <c r="A20" i="5" s="1"/>
  <c r="D8" i="7" l="1"/>
  <c r="D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<sst xmlns="http://schemas.openxmlformats.org/spreadsheetml/2006/main" count="681" uniqueCount="291">
  <si>
    <t>City</t>
  </si>
  <si>
    <t>Tier 1</t>
  </si>
  <si>
    <t>Mumbai</t>
  </si>
  <si>
    <t>Noida</t>
  </si>
  <si>
    <t>Gurgaon</t>
  </si>
  <si>
    <t>Bengaluru</t>
  </si>
  <si>
    <t>Chennai</t>
  </si>
  <si>
    <t>Hyderabad</t>
  </si>
  <si>
    <t>Ahmedabad</t>
  </si>
  <si>
    <t>Pune</t>
  </si>
  <si>
    <t>Tier 2</t>
  </si>
  <si>
    <t>Vijayawada</t>
  </si>
  <si>
    <t>Chandigarh</t>
  </si>
  <si>
    <t>Jaipur</t>
  </si>
  <si>
    <t>Indore</t>
  </si>
  <si>
    <t>Coimbatore</t>
  </si>
  <si>
    <t>Bhopal</t>
  </si>
  <si>
    <t>Tiruchirapalli</t>
  </si>
  <si>
    <t>Ranchi</t>
  </si>
  <si>
    <t>Nashik</t>
  </si>
  <si>
    <t>Raipur</t>
  </si>
  <si>
    <t>Lucknow</t>
  </si>
  <si>
    <t>Bhubaneswar</t>
  </si>
  <si>
    <t>Mangalore</t>
  </si>
  <si>
    <t>Visakhapatnam</t>
  </si>
  <si>
    <t>Mysuru</t>
  </si>
  <si>
    <t>Kochi</t>
  </si>
  <si>
    <t>Nagpur</t>
  </si>
  <si>
    <t>Madurai</t>
  </si>
  <si>
    <t>Trivandrum</t>
  </si>
  <si>
    <t>Tier 3</t>
  </si>
  <si>
    <t>Guwahati</t>
  </si>
  <si>
    <t>Tirupati</t>
  </si>
  <si>
    <t>Vellore</t>
  </si>
  <si>
    <t>Warangal</t>
  </si>
  <si>
    <t>Hubbali</t>
  </si>
  <si>
    <t>Tier</t>
  </si>
  <si>
    <t>Delhi</t>
  </si>
  <si>
    <t>Tier  2</t>
  </si>
  <si>
    <t>Kanpur</t>
  </si>
  <si>
    <t>Basic</t>
  </si>
  <si>
    <t>Premium</t>
  </si>
  <si>
    <t>Plan</t>
  </si>
  <si>
    <t>Advance</t>
  </si>
  <si>
    <t>USD_INR_Rate</t>
  </si>
  <si>
    <t>Hours_in_Month</t>
  </si>
  <si>
    <t>Select Headcount</t>
  </si>
  <si>
    <t>Select</t>
  </si>
  <si>
    <t>MinHC</t>
  </si>
  <si>
    <t>MaxHC</t>
  </si>
  <si>
    <t>Enab_Basic</t>
  </si>
  <si>
    <t>Enab_Premium</t>
  </si>
  <si>
    <t>Enab_Advance</t>
  </si>
  <si>
    <t>Tech_Basic</t>
  </si>
  <si>
    <t>Tech_Premium</t>
  </si>
  <si>
    <t>Tech_Advance</t>
  </si>
  <si>
    <t>Cost_INR_PM</t>
  </si>
  <si>
    <t>Real estate?</t>
  </si>
  <si>
    <t>IT Infra?</t>
  </si>
  <si>
    <t>Technology?</t>
  </si>
  <si>
    <t>Cost (INR/Month)</t>
  </si>
  <si>
    <t>Select Yes/No</t>
  </si>
  <si>
    <t>Components</t>
  </si>
  <si>
    <t>Real Estate</t>
  </si>
  <si>
    <t>IT Infra (OpEx)</t>
  </si>
  <si>
    <t>Enabling Functions</t>
  </si>
  <si>
    <t>Advance - Customisable</t>
  </si>
  <si>
    <t xml:space="preserve">Technology </t>
  </si>
  <si>
    <t>Enabling Functions?</t>
  </si>
  <si>
    <t xml:space="preserve">Managed Workspace </t>
  </si>
  <si>
    <t xml:space="preserve">Based on team size: HR/Admin, Finance, IT, Admin, HRBP+Ops </t>
  </si>
  <si>
    <t>Hardware, Networking, Security solutions, Cloud/SaaS, IT Support &amp; AMC, Collaboration tools, Data-centre/Colocation, Disaster-recovery backups, Compliance &amp; audits, End-user peripherals, Advanced cybersecurity (SIEM/DLP), Biometric attendance/access</t>
  </si>
  <si>
    <t>PLAN DETAILS</t>
  </si>
  <si>
    <t>80 000</t>
  </si>
  <si>
    <t>1 30 000</t>
  </si>
  <si>
    <t>2 80 000</t>
  </si>
  <si>
    <t>5 60 000</t>
  </si>
  <si>
    <t>10 30 000</t>
  </si>
  <si>
    <t>5 500</t>
  </si>
  <si>
    <t>9 700</t>
  </si>
  <si>
    <t>16 400</t>
  </si>
  <si>
    <t>30 000</t>
  </si>
  <si>
    <t>tech add prem</t>
  </si>
  <si>
    <t>en add adv</t>
  </si>
  <si>
    <t>en add orem</t>
  </si>
  <si>
    <t>tech add adv</t>
  </si>
  <si>
    <t>GCC CALCULATOR- wAI to EXECUTE</t>
  </si>
  <si>
    <t>Cost(USD/hour/head)</t>
  </si>
  <si>
    <t xml:space="preserve">HR/Admin, Finance, IT, Admin, HRBP+Ops , Marketing, Legal, Finance, Vendor Mgmt, Other </t>
  </si>
  <si>
    <t xml:space="preserve">HR/Admin, Finance, IT, Admin, HRBP+Ops, Marketing, Legal, Finance, Other  </t>
  </si>
  <si>
    <t>Hardware, Networking, Security solutions, Cloud, IT Support, Collaboration tools, Data-centre, Disaster-recovery backups, Compliance &amp; audits, End-user peripherals,cybersecurity (SIEM/DLP), Biometric attendance/access</t>
  </si>
  <si>
    <t xml:space="preserve">Note: If you upgrade to premium SaaS tiers, add specialist modules (performance, analytics, LMS) expect the totals to rise by 3-5 %.
Advance plan can be customized as per needs. </t>
  </si>
  <si>
    <t>City Tier</t>
  </si>
  <si>
    <t>Managed Workspace (₹/seat/month)</t>
  </si>
  <si>
    <t>Average Cost (₹)</t>
  </si>
  <si>
    <t>Key Insights</t>
  </si>
  <si>
    <t>₹15,000 - ₹25,000</t>
  </si>
  <si>
    <t>Premium rents in BKC and Nariman Point make Mumbai ideal for high-end corporate presence.</t>
  </si>
  <si>
    <t xml:space="preserve">Delhi   </t>
  </si>
  <si>
    <t>₹12,000 - ₹20,000</t>
  </si>
  <si>
    <t>Central areas like Connaught Place offer brand visibility, but come at a premium.</t>
  </si>
  <si>
    <t>₹8,000 - ₹15,000</t>
  </si>
  <si>
    <t>Offers affordable options with modern infra; ideal for cost-effective corporate hubs.</t>
  </si>
  <si>
    <t>₹15,000 - ₹20,000</t>
  </si>
  <si>
    <t>Preferred by MNCs for tech parks and proximity to Delhi; rents are premium but justified.</t>
  </si>
  <si>
    <t>₹10,000 - ₹20,000</t>
  </si>
  <si>
    <t>Startup and tech haven with balanced rent; ideal for product and innovation teams.</t>
  </si>
  <si>
    <t>₹10,000 - ₹17,000</t>
  </si>
  <si>
    <t>Affordable managed spaces with strong industrial base; good for operations and support teams.</t>
  </si>
  <si>
    <t>₹10,000 - ₹15,000</t>
  </si>
  <si>
    <t>Fast-growing IT and pharma hub with competitive rentals; HITEC City is prime for scale-ups.</t>
  </si>
  <si>
    <t>₹7,000 - ₹10,000</t>
  </si>
  <si>
    <t>Affordable with growing infra; great for regional offices or back-end operations.</t>
  </si>
  <si>
    <t>₹10,000 - ₹18,000</t>
  </si>
  <si>
    <t>Popular for tech outsourcing and R&amp;D; coworking options offer good value near Hinjewadi.</t>
  </si>
  <si>
    <t>₹5,000 - ₹11,000</t>
  </si>
  <si>
    <t>₹6,000 - ₹8,000</t>
  </si>
  <si>
    <t>Emerging city with low rents; good for pilot teams or service support operations.</t>
  </si>
  <si>
    <t>₹6,000 - ₹9,000</t>
  </si>
  <si>
    <t>Strategic Tier-2 city with strong talent pool; best suited for support centers or BPOs.</t>
  </si>
  <si>
    <t>₹5,500 - ₹12,500</t>
  </si>
  <si>
    <t>Low-rent city with improving infra; a smart choice for scaling backend teams.</t>
  </si>
  <si>
    <t>Known for engineering talent and low costs; ideal for manufacturing-linked offices.</t>
  </si>
  <si>
    <t xml:space="preserve">Kanpur </t>
  </si>
  <si>
    <t>₹8,000 - ₹12,000</t>
  </si>
  <si>
    <t>₹5,500 - ₹7,500</t>
  </si>
  <si>
    <t>Political capital with affordable rates; ideal for government liaison or outreach offices.</t>
  </si>
  <si>
    <t>₹9,000 - ₹12,000</t>
  </si>
  <si>
    <t>Strong presence of public sector and tech talent; good for cost-efficient IT ops.</t>
  </si>
  <si>
    <t>₹8,000 - ₹10,000</t>
  </si>
  <si>
    <t>Clean, compact city with moderate rents; fits remote teams and regional back-office units.</t>
  </si>
  <si>
    <t>Rapid infra growth and port access; potential base for logistics, IT and marine ops.</t>
  </si>
  <si>
    <t>Low rents and serene work environment; ideal for satellite teams or R&amp;D support.</t>
  </si>
  <si>
    <t>₹7,500 - ₹12,500</t>
  </si>
  <si>
    <t>Port city with fast-developing tech infra; suitable for regional HQ or support functions.</t>
  </si>
  <si>
    <t xml:space="preserve">	₹6,000 - ₹8,000</t>
  </si>
  <si>
    <t>Central location makes it logistically strategic; best for warehousing or supply ops.</t>
  </si>
  <si>
    <t>₹6,000 - ₹7,000</t>
  </si>
  <si>
    <t>Affordable rents with academic institutions nearby; fits training or secondary ops.</t>
  </si>
  <si>
    <t>₹5,500 - ₹8,500</t>
  </si>
  <si>
    <t>Government-supported IT parks like Technopark offer affordable, structured workspaces.</t>
  </si>
  <si>
    <t xml:space="preserve">As per myHQ (ANAROCK) listings </t>
  </si>
  <si>
    <t>City-Wise Insights for GCC Setups</t>
  </si>
  <si>
    <t>Recommended Workspace Model</t>
  </si>
  <si>
    <t>Key GCC-Driven Growth Factors</t>
  </si>
  <si>
    <t>Managed Workspaces for agile teams; Traditional for HQ setups</t>
  </si>
  <si>
    <t>Strong IT/ITES ecosystem; Whitefield and ORR are GCC hubs.</t>
  </si>
  <si>
    <t>Managed Spaces in HITEC City; Traditional in Gachibowli</t>
  </si>
  <si>
    <t>Growing fintech and engineering R&amp;D setups.</t>
  </si>
  <si>
    <t>Managed Workspaces in Baner, Balewadi; Traditional in Hinjewadi</t>
  </si>
  <si>
    <t>Preferred for IT, engineering, and BFSI GCCs.</t>
  </si>
  <si>
    <t>Managed Spaces for financial services teams; Traditional for long-term GCC setups</t>
  </si>
  <si>
    <t>BKC and Powai attract global BFSI companies.</t>
  </si>
  <si>
    <t>Delhi NCR (Gurgaon &amp; Noida)</t>
  </si>
  <si>
    <t>Managed Spaces in Golf Course Road, Noida Expressway</t>
  </si>
  <si>
    <t>Rapidly growing tech, media, and legal GCC sectors.</t>
  </si>
  <si>
    <t>Managed Workspaces for IT; Traditional offices in OMR Zone 1</t>
  </si>
  <si>
    <t>Focus on automotive, IT, and healthcare GCCs.</t>
  </si>
  <si>
    <t>Ahmedabad (GIFT City)</t>
  </si>
  <si>
    <t>Managed Spaces for fintech firms; Traditional for banking GCCs</t>
  </si>
  <si>
    <t>Rising financial services hub in Gujarat.</t>
  </si>
  <si>
    <t>Kochi, Coimbatore, Bhubaneswar</t>
  </si>
  <si>
    <t>Managed Workspaces for remote tech teams; Traditional for core offices</t>
  </si>
  <si>
    <t>Emerging tech talent hubs with cost-effective options.</t>
  </si>
  <si>
    <t>Breakdown of IT Infrastructure Cost Components (Per Seat Per Month ₹)</t>
  </si>
  <si>
    <t>Component</t>
  </si>
  <si>
    <t>Min Cost</t>
  </si>
  <si>
    <t>Max Cost</t>
  </si>
  <si>
    <t>Avg Cost</t>
  </si>
  <si>
    <t>Standards</t>
  </si>
  <si>
    <t>Hardware (laptop + monitor)</t>
  </si>
  <si>
    <t xml:space="preserve">14- to 15-inch business-class laptop (Intel i5/Ryzen 5, 16 GB RAM, 512 GB SSD, 3-yr warrantied on-site support) + 22-24″ FHD monitor. </t>
  </si>
  <si>
    <t>Networking (LAN + Internet)</t>
  </si>
  <si>
    <t>100 Mbps 1:1 leased line for 50 seats plus enterprise access points &amp; switches amortised over 36 mths.</t>
  </si>
  <si>
    <t>Security solutions (NGFW + EDR)</t>
  </si>
  <si>
    <t>FortiGate/Sophos firewall cluster (subscription + support) + SentinelOne/CrowdStrike endpoint EDR.</t>
  </si>
  <si>
    <t xml:space="preserve">Cloud / SaaS </t>
  </si>
  <si>
    <t>75–150 USD/employee/year on AWS/Azure (light workloads) + MS 365, Atlassian, etc.</t>
  </si>
  <si>
    <t>IT Support &amp; AMC</t>
  </si>
  <si>
    <t>8×5 remote help-desk + quarterly on-site engineer; ₹75-125/user/mth</t>
  </si>
  <si>
    <t>Collaboration tools</t>
  </si>
  <si>
    <t>MS Teams (inside 365) or Google Meet; Zoom Business if required (₹500/user)</t>
  </si>
  <si>
    <t>Data-centre / Colocation</t>
  </si>
  <si>
    <t>1 U share in Tier-3 DC-  ₹7-9 k/month; for 50 seats- ₹140-180/seat</t>
  </si>
  <si>
    <t>Disaster-recovery backups</t>
  </si>
  <si>
    <t>Daily incremental to S3/Glacier + quarterly DR drill; ₹50–150/user</t>
  </si>
  <si>
    <t>Compliance &amp; audits</t>
  </si>
  <si>
    <t>ISO 27001 annual audit, SOC-2 Type II every 2 yrs</t>
  </si>
  <si>
    <t>End-user peripherals</t>
  </si>
  <si>
    <t>Keyboard, mouse, headset = ₹3,000 one-time → ₹90/month</t>
  </si>
  <si>
    <t>Advanced cybersecurity (SIEM/DLP)</t>
  </si>
  <si>
    <t>Managed SIEM @ ₹15-20/asset/mth; Cloud DLP (₹150-300)</t>
  </si>
  <si>
    <t>Biometric attendance / access</t>
  </si>
  <si>
    <t>ZKTeco / eSSL ₹3,500-8,000 one-time; amortised 3 yrs for 50 users</t>
  </si>
  <si>
    <t>🔑 Key Takeaways:</t>
  </si>
  <si>
    <r>
      <t xml:space="preserve">✅ </t>
    </r>
    <r>
      <rPr>
        <b/>
        <sz val="11"/>
        <color theme="1"/>
        <rFont val="Aptos Narrow"/>
        <family val="2"/>
        <scheme val="minor"/>
      </rPr>
      <t>Trivandrum is now included</t>
    </r>
    <r>
      <rPr>
        <sz val="12"/>
        <color theme="1"/>
        <rFont val="Aptos Narrow"/>
        <family val="2"/>
        <scheme val="minor"/>
      </rPr>
      <t xml:space="preserve"> and has costs </t>
    </r>
    <r>
      <rPr>
        <b/>
        <sz val="11"/>
        <color theme="1"/>
        <rFont val="Aptos Narrow"/>
        <family val="2"/>
        <scheme val="minor"/>
      </rPr>
      <t>similar to Kochi</t>
    </r>
    <r>
      <rPr>
        <sz val="12"/>
        <color theme="1"/>
        <rFont val="Aptos Narrow"/>
        <family val="2"/>
        <scheme val="minor"/>
      </rPr>
      <t xml:space="preserve"> due to its </t>
    </r>
    <r>
      <rPr>
        <b/>
        <sz val="11"/>
        <color theme="1"/>
        <rFont val="Aptos Narrow"/>
        <family val="2"/>
        <scheme val="minor"/>
      </rPr>
      <t>strong IT presence (Technopark, Kazhakootam)</t>
    </r>
    <r>
      <rPr>
        <sz val="12"/>
        <color theme="1"/>
        <rFont val="Aptos Narrow"/>
        <family val="2"/>
        <scheme val="minor"/>
      </rPr>
      <t>.</t>
    </r>
  </si>
  <si>
    <r>
      <t xml:space="preserve">✅ </t>
    </r>
    <r>
      <rPr>
        <b/>
        <sz val="11"/>
        <color theme="1"/>
        <rFont val="Aptos Narrow"/>
        <family val="2"/>
        <scheme val="minor"/>
      </rPr>
      <t>More specific city areas/zones are highlighted</t>
    </r>
    <r>
      <rPr>
        <sz val="12"/>
        <color theme="1"/>
        <rFont val="Aptos Narrow"/>
        <family val="2"/>
        <scheme val="minor"/>
      </rPr>
      <t xml:space="preserve"> to show variations within each city.</t>
    </r>
  </si>
  <si>
    <r>
      <t xml:space="preserve">✅ </t>
    </r>
    <r>
      <rPr>
        <b/>
        <sz val="11"/>
        <color theme="1"/>
        <rFont val="Aptos Narrow"/>
        <family val="2"/>
        <scheme val="minor"/>
      </rPr>
      <t>Tier 1 cities</t>
    </r>
    <r>
      <rPr>
        <sz val="12"/>
        <color theme="1"/>
        <rFont val="Aptos Narrow"/>
        <family val="2"/>
        <scheme val="minor"/>
      </rPr>
      <t xml:space="preserve"> have the highest cost due to </t>
    </r>
    <r>
      <rPr>
        <b/>
        <sz val="11"/>
        <color theme="1"/>
        <rFont val="Aptos Narrow"/>
        <family val="2"/>
        <scheme val="minor"/>
      </rPr>
      <t>premium real estate, high-end IT infrastructure, and security needs</t>
    </r>
    <r>
      <rPr>
        <sz val="12"/>
        <color theme="1"/>
        <rFont val="Aptos Narrow"/>
        <family val="2"/>
        <scheme val="minor"/>
      </rPr>
      <t>.</t>
    </r>
  </si>
  <si>
    <r>
      <t xml:space="preserve">✅ </t>
    </r>
    <r>
      <rPr>
        <b/>
        <sz val="11"/>
        <color theme="1"/>
        <rFont val="Aptos Narrow"/>
        <family val="2"/>
        <scheme val="minor"/>
      </rPr>
      <t>Tier 2 cities offer a balance between cost and IT infrastructure, making them attractive for expansion</t>
    </r>
    <r>
      <rPr>
        <sz val="12"/>
        <color theme="1"/>
        <rFont val="Aptos Narrow"/>
        <family val="2"/>
        <scheme val="minor"/>
      </rPr>
      <t>.</t>
    </r>
  </si>
  <si>
    <r>
      <t xml:space="preserve">✅ </t>
    </r>
    <r>
      <rPr>
        <b/>
        <sz val="11"/>
        <color theme="1"/>
        <rFont val="Aptos Narrow"/>
        <family val="2"/>
        <scheme val="minor"/>
      </rPr>
      <t>Tier 3 cities like Trivandrum, Bhubaneswar, and Visakhapatnam provide cost-effective options but may require additional investment in cloud and security solutions</t>
    </r>
    <r>
      <rPr>
        <sz val="12"/>
        <color theme="1"/>
        <rFont val="Aptos Narrow"/>
        <family val="2"/>
        <scheme val="minor"/>
      </rPr>
      <t>.</t>
    </r>
  </si>
  <si>
    <r>
      <t xml:space="preserve">✅ </t>
    </r>
    <r>
      <rPr>
        <b/>
        <sz val="11"/>
        <color theme="1"/>
        <rFont val="Aptos Narrow"/>
        <family val="2"/>
        <scheme val="minor"/>
      </rPr>
      <t>Key cost drivers include Hardware, Cloud Infrastructure, and Data Center Hosting</t>
    </r>
    <r>
      <rPr>
        <sz val="12"/>
        <color theme="1"/>
        <rFont val="Aptos Narrow"/>
        <family val="2"/>
        <scheme val="minor"/>
      </rPr>
      <t>.</t>
    </r>
  </si>
  <si>
    <t>tier</t>
  </si>
  <si>
    <t>city</t>
  </si>
  <si>
    <t>cost</t>
  </si>
  <si>
    <t xml:space="preserve">Basic </t>
  </si>
  <si>
    <t>Must Have Functions (Foundational, usually needed from Day 1)</t>
  </si>
  <si>
    <t>Team Size</t>
  </si>
  <si>
    <t>Enabling Functions Roles</t>
  </si>
  <si>
    <t>FTEs</t>
  </si>
  <si>
    <t>Indicative Monthly Cost (INR)</t>
  </si>
  <si>
    <t>Average People Cost</t>
  </si>
  <si>
    <t>Standard Technology Cost</t>
  </si>
  <si>
    <t>Average Tech Cost</t>
  </si>
  <si>
    <t>Suggested Platforms(typical monthly licences)</t>
  </si>
  <si>
    <t>Function</t>
  </si>
  <si>
    <t>Description</t>
  </si>
  <si>
    <t>0-50</t>
  </si>
  <si>
    <t>HR/Admin (1), Finance (1), IT Support (1)</t>
  </si>
  <si>
    <t>2–3</t>
  </si>
  <si>
    <r>
      <t>1.2 – 1.8 L</t>
    </r>
    <r>
      <rPr>
        <sz val="12"/>
        <color theme="1"/>
        <rFont val="Aptos Narrow"/>
        <family val="2"/>
        <scheme val="minor"/>
      </rPr>
      <t xml:space="preserve"> (avg salary 40-55 k)</t>
    </r>
  </si>
  <si>
    <t>₹6,000 – 8,000</t>
  </si>
  <si>
    <t>HR</t>
  </si>
  <si>
    <t>Talent acquisition, employee engagement, payroll, compliance</t>
  </si>
  <si>
    <t>51–100</t>
  </si>
  <si>
    <t>HR (2), Finance (2), Admin (1), IT Helpdesk (1)</t>
  </si>
  <si>
    <t>6–7</t>
  </si>
  <si>
    <t>₹3 – 4.5 L</t>
  </si>
  <si>
    <t>₹18,000 – 28,000</t>
  </si>
  <si>
    <t>Finance</t>
  </si>
  <si>
    <t>Accounting, budgeting, payroll, vendor payments</t>
  </si>
  <si>
    <t>101–250</t>
  </si>
  <si>
    <t>HR (3–4), Finance (3), Admin (2), IT (2)</t>
  </si>
  <si>
    <t>11–12</t>
  </si>
  <si>
    <t>₹7 – 10 L</t>
  </si>
  <si>
    <t>₹50,000 – 70,000</t>
  </si>
  <si>
    <t>Admin</t>
  </si>
  <si>
    <t>Office management, travel, coordination, general operations</t>
  </si>
  <si>
    <t>251–500</t>
  </si>
  <si>
    <t>HRBP + Ops (5), Finance (4–5), Admin (3), IT (3–4)</t>
  </si>
  <si>
    <t>17–20</t>
  </si>
  <si>
    <t>₹14 – 18 L</t>
  </si>
  <si>
    <t>₹1.1 – 1.5 L</t>
  </si>
  <si>
    <t>IT Helpdesk</t>
  </si>
  <si>
    <t>End-user support, basic infra, device provisioning</t>
  </si>
  <si>
    <t>501–1000</t>
  </si>
  <si>
    <t>Full Enabling COEs with Mid Mgmt layers (HR, Finance, Admin, IT)</t>
  </si>
  <si>
    <t>28–36</t>
  </si>
  <si>
    <t>₹28 – 36 L</t>
  </si>
  <si>
    <t>₹2.0 – 2.5 L</t>
  </si>
  <si>
    <t>If you upgrade to premium SaaS tiers, add specialist modules (performance, analytics, LMS) expect the totals to rise by 15-25 %.</t>
  </si>
  <si>
    <t>Good to Have Functions</t>
  </si>
  <si>
    <t xml:space="preserve">FTEs </t>
  </si>
  <si>
    <t>0–50</t>
  </si>
  <si>
    <t xml:space="preserve">Marketing (1), Legal (1), Finance/Vendor Mgmt (1), </t>
  </si>
  <si>
    <t>0.6 L – 1.1 L</t>
  </si>
  <si>
    <t>0 – 2 k</t>
  </si>
  <si>
    <t>Marketing (1), Legal (1), Finance/Vendor Mgmt (1), Other (1)</t>
  </si>
  <si>
    <t>0.9 L – 1.6 L</t>
  </si>
  <si>
    <t>3 k – 6 k</t>
  </si>
  <si>
    <t>Marketing (2), Legal (1), Finance/Vendor Mgmt (1), Other (2)</t>
  </si>
  <si>
    <t>2.0 L – 3.3 L</t>
  </si>
  <si>
    <t>8 k – 12 k</t>
  </si>
  <si>
    <t>Marketing (3–4), Legal (2), Finance/Vendor Mgmt (2), Other (3–4)</t>
  </si>
  <si>
    <t>10–12</t>
  </si>
  <si>
    <t>4.0 L – 6.8 L</t>
  </si>
  <si>
    <t>14 k – 18 k</t>
  </si>
  <si>
    <t>Marketing (5–6), Legal (3), Finance/Vendor Mgmt (3), Other (5–6)</t>
  </si>
  <si>
    <t>16–18</t>
  </si>
  <si>
    <t>7.5 L – 12.5 L</t>
  </si>
  <si>
    <t>26 k – 34 k</t>
  </si>
  <si>
    <t xml:space="preserve">Marketing (1), Legal (1), Finance (1), Vendor Mgmt (1), </t>
  </si>
  <si>
    <t>1.2L – 1.6L</t>
  </si>
  <si>
    <t xml:space="preserve">Platforms like Talent Trail, Zoho People, Freshteam, Keka Foundation, BambooHR, Darwinbox, SAP SuccessFactors, Recruiter Fusion, Zoho Books </t>
  </si>
  <si>
    <t>Talent Trail, Zoho Campaigns,Contracts,Books, Premium , Keka Foundation, BambooHR, Darwinbox, SAP SuccessFactors, Recruiter Fusion</t>
  </si>
  <si>
    <t>Talent Trial, HubSpot Pro, DocuSign CLM, QuickBooks Adv, Salesforce Marketing Cloud, Xero, Notion, Marketo Pro, ContractWorks, NetSuite, Oracle Eloqua, Agiloft, SAP B1, Slack Grid, Keka Foundation, BambooHR, Darwinbox, SAP SuccessFactors, Recruiter Fusion</t>
  </si>
  <si>
    <t>Zoho People (HRIS ₹3,000), Zoho Recruit (ATS ₹1,500), Zoho Books Std (Finance ₹749), Google Workspace/Slack (₹500)</t>
  </si>
  <si>
    <t>Keka (HR+Payroll ₹7,500), QuickBooks Advanced (₹6,500), Slack/Workspace (₹3,000)</t>
  </si>
  <si>
    <t>Darwinbox (HRIS ₹18,000), Zoho Books Pro (₹1,500), Slack/Workspace (₹5,000)</t>
  </si>
  <si>
    <t>Darwinbox (₹35,000), NetSuite ERP (₹30,000), Slack (₹10,000)</t>
  </si>
  <si>
    <t>SAP SuccessFactors (HRIS ₹1,00,000), SAP B1/Oracle ERP (₹75,000), Slack (₹15,000)</t>
  </si>
  <si>
    <t>Zoho People (₹3,000), Zoho Recruit (₹1,500), Zoho Books Std (₹749), Zoho Campaigns (₹1,250), Zoho Contracts (₹2,000), Slack/Workspace (₹500)</t>
  </si>
  <si>
    <t>Keka (₹7,500), QuickBooks Adv (₹6,500), HubSpot Starter (₹3,000), Zoho Contracts (₹3,000), Slack/Workspace (₹7,000)</t>
  </si>
  <si>
    <t>Darwinbox (₹18,000), Zoho Books Pro (₹1,500), HubSpot Pro (₹13,500), DocuSign CLM (₹7,000), Slack (₹5,000)</t>
  </si>
  <si>
    <t>Darwinbox (₹35,000), NetSuite ERP (₹30,000), HubSpot Pro (₹15,000), DocuSign CLM (₹12,000), Slack (₹10,000)</t>
  </si>
  <si>
    <t>SAP SuccessFactors (₹1,00,000), SAP B1/Oracle ERP (₹75,000), Salesforce Marketing Cloud (₹50,000), DocuSign CLM (₹20,000), Slack (₹15,000)</t>
  </si>
  <si>
    <t>Keka (₹6,000), QuickBooks Adv (₹4,000), HubSpot Starter (₹3,000), DocuSign CLM (₹4,000), Slack + Notion (₹3,000)</t>
  </si>
  <si>
    <t>Darwinbox (₹15,000), QuickBooks Adv (₹7,500), HubSpot Pro (₹8,000), DocuSign CLM (₹6,000), Slack + Notion (₹4,000)</t>
  </si>
  <si>
    <t>Darwinbox (₹20,000), NetSuite ERP (₹15,000), Marketo Pro (₹20,000), DocuSign CLM (₹10,000), Slack + Notion (₹7,000)</t>
  </si>
  <si>
    <t>SAP SuccessFactors (₹50,000), SAP B1 ERP (₹40,000), Marketo Pro (₹25,000), Agiloft CLM (₹20,000), Slack Grid + Notion (₹15,000)</t>
  </si>
  <si>
    <t>SAP SuccessFactors (₹1,00,000), Oracle ERP Cloud (₹1,00,000), Salesforce Marketing Cloud (₹60,000), Agiloft CLM (₹30,000), Slack Grid + Notion (₹25,000)</t>
  </si>
  <si>
    <t>markup of 30% has been applied to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</si>
</sst>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3" x14ac:knownFonts="1">
    <font>
      <sz val="12"/>
      <color theme="1"/>
      <name val="Aptos Narrow"/>
      <family val="2"/>
      <scheme val="minor"/>
    </font>
    <font>
      <sz val="10"/>
      <color theme="1"/>
      <name val="Arial Unicode MS"/>
      <family val="2"/>
    </font>
    <font>
      <sz val="12"/>
      <color rgb="FF000000"/>
      <name val="Aptos Narrow"/>
    </font>
    <font>
      <sz val="18"/>
      <color rgb="FF000000"/>
      <name val="Aptos Narrow"/>
    </font>
    <font>
      <sz val="12"/>
      <color theme="0"/>
      <name val="Aptos Narrow"/>
      <family val="2"/>
      <scheme val="minor"/>
    </font>
    <font>
      <b/>
      <sz val="14"/>
      <color theme="1"/>
      <name val="Aptos Narrow"/>
      <scheme val="minor"/>
    </font>
    <font>
      <b/>
      <sz val="14"/>
      <color theme="0"/>
      <name val="Aptos Narrow"/>
      <scheme val="minor"/>
    </font>
    <font>
      <b/>
      <sz val="12"/>
      <color theme="1"/>
      <name val="Aptos Narrow"/>
      <family val="2"/>
      <scheme val="minor"/>
    </font>
    <font>
      <b/>
      <sz val="16"/>
      <color theme="1"/>
      <name val="Aptos Narrow"/>
      <family val="2"/>
      <scheme val="minor"/>
    </font>
    <font>
      <sz val="14"/>
      <color theme="1"/>
      <name val="Aptos Narrow"/>
      <family val="2"/>
      <scheme val="minor"/>
    </font>
    <font>
      <b/>
      <sz val="18"/>
      <color theme="1"/>
      <name val="Aptos Narrow"/>
      <scheme val="minor"/>
    </font>
    <font>
      <b/>
      <sz val="20"/>
      <color theme="1"/>
      <name val="Aptos Narrow"/>
      <scheme val="minor"/>
    </font>
    <font>
      <b/>
      <sz val="24"/>
      <color theme="1"/>
      <name val="Aptos Narrow"/>
      <scheme val="minor"/>
    </font>
    <font>
      <b/>
      <sz val="18"/>
      <color theme="1"/>
      <name val="Aptos Narrow"/>
      <family val="2"/>
      <scheme val="minor"/>
    </font>
    <font>
      <b/>
      <sz val="22"/>
      <color theme="0"/>
      <name val="Aptos Narrow"/>
      <family val="2"/>
      <scheme val="minor"/>
    </font>
    <font>
      <b/>
      <sz val="22"/>
      <color theme="0"/>
      <name val="Aptos Narrow"/>
      <scheme val="minor"/>
    </font>
    <font>
      <sz val="8"/>
      <name val="Aptos Narrow"/>
      <family val="2"/>
      <scheme val="minor"/>
    </font>
    <font>
      <b/>
      <sz val="11"/>
      <color theme="1"/>
      <name val="Aptos Narrow"/>
      <family val="2"/>
      <scheme val="minor"/>
    </font>
    <font>
      <b/>
      <sz val="13.5"/>
      <color theme="1"/>
      <name val="Aptos Narrow"/>
      <family val="2"/>
      <scheme val="minor"/>
    </font>
    <font>
      <sz val="10"/>
      <color theme="1"/>
      <name val="Aptos Narrow"/>
      <family val="2"/>
      <scheme val="minor"/>
    </font>
    <font>
      <sz val="12"/>
      <color rgb="FF000000"/>
      <name val="Aptos Narrow"/>
      <family val="2"/>
      <scheme val="minor"/>
    </font>
    <font>
      <sz val="16"/>
      <color theme="1"/>
      <name val="Aptos Narrow"/>
      <family val="2"/>
      <scheme val="minor"/>
    </font>
    <font>
      <i/>
      <sz val="12"/>
      <color theme="1"/>
      <name val="Aptos Narrow"/>
      <scheme val="minor"/>
    </font>
  </fonts>
  <fills count="17">
    <fill>
      <patternFill patternType="none"/>
    </fill>
    <fill>
      <patternFill patternType="gray125"/>
    </fill>
    <fill>
      <patternFill patternType="solid">
        <fgColor theme="5" tint="0.79998168889431442"/>
        <bgColor indexed="64"/>
      </patternFill>
    </fill>
    <fill>
      <patternFill patternType="solid">
        <fgColor theme="2"/>
        <bgColor indexed="64"/>
      </patternFill>
    </fill>
    <fill>
      <patternFill patternType="solid">
        <fgColor theme="2" tint="-0.49998474074526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1">
    <xf numFmtId="0" fontId="0" fillId="0" borderId="0"/>
  </cellStyleXfs>
  <cellXfs count="127">
    <xf numFmtId="0" fontId="0" fillId="0" borderId="0" xfId="0"/>
    <xf numFmtId="0" fontId="0" fillId="0" borderId="0" xfId="0" applyAlignment="1">
      <alignment horizontal="center" vertical="center"/>
    </xf>
    <xf numFmtId="0" fontId="0" fillId="0" borderId="1" xfId="0" applyBorder="1"/>
    <xf numFmtId="0" fontId="0" fillId="0" borderId="4" xfId="0" applyBorder="1"/>
    <xf numFmtId="3" fontId="0" fillId="0" borderId="3" xfId="0" applyNumberFormat="1" applyBorder="1" applyAlignment="1">
      <alignment horizontal="center" vertical="center" wrapText="1"/>
    </xf>
    <xf numFmtId="0" fontId="0" fillId="0" borderId="5" xfId="0" applyBorder="1"/>
    <xf numFmtId="0" fontId="0" fillId="0" borderId="8" xfId="0" applyBorder="1"/>
    <xf numFmtId="0" fontId="0" fillId="0" borderId="6" xfId="0" applyBorder="1"/>
    <xf numFmtId="0" fontId="0" fillId="0" borderId="2" xfId="0" applyBorder="1"/>
    <xf numFmtId="0" fontId="1" fillId="0" borderId="0" xfId="0" applyFont="1"/>
    <xf numFmtId="0" fontId="0" fillId="0" borderId="7" xfId="0" applyBorder="1"/>
    <xf numFmtId="0" fontId="0" fillId="0" borderId="9" xfId="0" applyBorder="1"/>
    <xf numFmtId="0" fontId="0" fillId="0" borderId="3" xfId="0" applyBorder="1"/>
    <xf numFmtId="0" fontId="0" fillId="3" borderId="12" xfId="0" applyFill="1" applyBorder="1"/>
    <xf numFmtId="0" fontId="0" fillId="3" borderId="14" xfId="0" applyFill="1" applyBorder="1"/>
    <xf numFmtId="0" fontId="0" fillId="3" borderId="16" xfId="0" applyFill="1" applyBorder="1"/>
    <xf numFmtId="0" fontId="4" fillId="0" borderId="0" xfId="0" applyFont="1"/>
    <xf numFmtId="0" fontId="0" fillId="4" borderId="0" xfId="0" applyFill="1"/>
    <xf numFmtId="0" fontId="4" fillId="4" borderId="0" xfId="0" applyFont="1" applyFill="1"/>
    <xf numFmtId="0" fontId="6" fillId="0" borderId="17" xfId="0" applyFont="1" applyBorder="1"/>
    <xf numFmtId="0" fontId="5" fillId="0" borderId="0" xfId="0" applyFont="1"/>
    <xf numFmtId="0" fontId="6" fillId="0" borderId="10" xfId="0" applyFont="1" applyBorder="1"/>
    <xf numFmtId="0" fontId="7" fillId="0" borderId="0" xfId="0" applyFont="1"/>
    <xf numFmtId="0" fontId="7"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9" fillId="0" borderId="0" xfId="0" applyFont="1"/>
    <xf numFmtId="0" fontId="9" fillId="0" borderId="0" xfId="0" applyFont="1" applyAlignment="1">
      <alignment vertical="top"/>
    </xf>
    <xf numFmtId="0" fontId="12" fillId="2" borderId="11" xfId="0" applyFont="1" applyFill="1" applyBorder="1" applyAlignment="1">
      <alignment horizontal="center"/>
    </xf>
    <xf numFmtId="0" fontId="12" fillId="3" borderId="12" xfId="0" applyFont="1" applyFill="1" applyBorder="1" applyAlignment="1">
      <alignment horizontal="center"/>
    </xf>
    <xf numFmtId="0" fontId="12" fillId="2"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8" xfId="0" applyFont="1" applyFill="1" applyBorder="1" applyAlignment="1">
      <alignment horizontal="center" vertical="center"/>
    </xf>
    <xf numFmtId="0" fontId="11" fillId="5" borderId="15" xfId="0" applyFont="1" applyFill="1" applyBorder="1" applyAlignment="1">
      <alignment horizontal="center"/>
    </xf>
    <xf numFmtId="0" fontId="10" fillId="0" borderId="0" xfId="0" applyFont="1"/>
    <xf numFmtId="0" fontId="10" fillId="2" borderId="11" xfId="0" applyFont="1" applyFill="1" applyBorder="1"/>
    <xf numFmtId="0" fontId="10" fillId="2" borderId="13" xfId="0" applyFont="1" applyFill="1" applyBorder="1"/>
    <xf numFmtId="0" fontId="10" fillId="2" borderId="15" xfId="0" applyFont="1" applyFill="1" applyBorder="1"/>
    <xf numFmtId="0" fontId="13" fillId="3" borderId="1" xfId="0" applyFont="1" applyFill="1" applyBorder="1" applyAlignment="1">
      <alignment vertical="center" wrapText="1"/>
    </xf>
    <xf numFmtId="0" fontId="8" fillId="3" borderId="1" xfId="0" applyFont="1" applyFill="1" applyBorder="1" applyAlignment="1">
      <alignment vertical="top" wrapText="1"/>
    </xf>
    <xf numFmtId="0" fontId="9" fillId="2" borderId="1" xfId="0" applyFont="1" applyFill="1" applyBorder="1" applyAlignment="1">
      <alignment vertical="top" wrapText="1"/>
    </xf>
    <xf numFmtId="0" fontId="9" fillId="2" borderId="1" xfId="0" applyFont="1" applyFill="1" applyBorder="1" applyAlignment="1">
      <alignment vertical="center" wrapText="1"/>
    </xf>
    <xf numFmtId="0" fontId="0" fillId="0" borderId="1" xfId="0" applyBorder="1" applyAlignment="1">
      <alignment horizontal="center" vertical="center" wrapText="1"/>
    </xf>
    <xf numFmtId="0" fontId="11" fillId="6" borderId="16" xfId="0" applyFont="1" applyFill="1" applyBorder="1" applyAlignment="1">
      <alignment wrapText="1"/>
    </xf>
    <xf numFmtId="3" fontId="0" fillId="0" borderId="1" xfId="0" applyNumberFormat="1" applyBorder="1" applyAlignment="1">
      <alignment horizontal="center" vertical="center" wrapText="1"/>
    </xf>
    <xf numFmtId="3" fontId="0" fillId="0" borderId="0" xfId="0" applyNumberFormat="1"/>
    <xf numFmtId="0" fontId="0" fillId="0" borderId="0" xfId="0" applyAlignment="1">
      <alignment vertical="center"/>
    </xf>
    <xf numFmtId="0" fontId="17" fillId="6" borderId="1" xfId="0" applyFont="1" applyFill="1" applyBorder="1" applyAlignment="1">
      <alignment horizontal="center" vertical="center" wrapText="1"/>
    </xf>
    <xf numFmtId="0" fontId="17" fillId="9" borderId="0" xfId="0" applyFont="1" applyFill="1" applyAlignment="1">
      <alignment horizontal="center" vertical="center" wrapText="1"/>
    </xf>
    <xf numFmtId="0" fontId="0" fillId="10" borderId="1" xfId="0" applyFill="1" applyBorder="1" applyAlignment="1">
      <alignment horizontal="center" vertical="center" wrapText="1"/>
    </xf>
    <xf numFmtId="3" fontId="0" fillId="10" borderId="1" xfId="0" applyNumberFormat="1" applyFill="1" applyBorder="1" applyAlignment="1">
      <alignment horizontal="center" vertical="center" wrapText="1"/>
    </xf>
    <xf numFmtId="0" fontId="0" fillId="10" borderId="1" xfId="0" applyFill="1" applyBorder="1" applyAlignment="1">
      <alignment vertical="top"/>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ill="1" applyBorder="1" applyAlignment="1">
      <alignment vertical="top"/>
    </xf>
    <xf numFmtId="0" fontId="0" fillId="11" borderId="1" xfId="0" applyFill="1" applyBorder="1" applyAlignment="1">
      <alignment horizontal="center" vertical="center" wrapText="1"/>
    </xf>
    <xf numFmtId="0" fontId="0" fillId="12" borderId="1" xfId="0" applyFill="1" applyBorder="1" applyAlignment="1">
      <alignment horizontal="center" vertical="center" wrapText="1"/>
    </xf>
    <xf numFmtId="3" fontId="0" fillId="12" borderId="1" xfId="0" applyNumberFormat="1" applyFill="1" applyBorder="1" applyAlignment="1">
      <alignment horizontal="center" vertical="center" wrapText="1"/>
    </xf>
    <xf numFmtId="0" fontId="0" fillId="12" borderId="1" xfId="0" applyFill="1" applyBorder="1" applyAlignment="1">
      <alignment vertical="top"/>
    </xf>
    <xf numFmtId="0" fontId="0" fillId="0" borderId="8" xfId="0" applyBorder="1" applyAlignment="1">
      <alignment vertical="center"/>
    </xf>
    <xf numFmtId="0" fontId="7" fillId="0" borderId="0" xfId="0" applyFont="1" applyAlignment="1">
      <alignment vertical="center"/>
    </xf>
    <xf numFmtId="0" fontId="17" fillId="0" borderId="1" xfId="0" applyFont="1" applyBorder="1" applyAlignment="1">
      <alignment horizontal="center" vertical="center" wrapText="1"/>
    </xf>
    <xf numFmtId="0" fontId="18" fillId="0" borderId="0" xfId="0" applyFont="1" applyAlignment="1">
      <alignment vertical="center"/>
    </xf>
    <xf numFmtId="0" fontId="0" fillId="0" borderId="0" xfId="0" applyAlignment="1">
      <alignment horizontal="center" vertical="top"/>
    </xf>
    <xf numFmtId="0" fontId="17" fillId="0" borderId="1" xfId="0" applyFont="1" applyBorder="1" applyAlignment="1">
      <alignment horizontal="center" vertical="top" wrapText="1"/>
    </xf>
    <xf numFmtId="0" fontId="17" fillId="0" borderId="1" xfId="0" applyFont="1" applyBorder="1" applyAlignment="1">
      <alignment horizontal="center" vertical="top"/>
    </xf>
    <xf numFmtId="0" fontId="17" fillId="0" borderId="1" xfId="0" applyFont="1" applyBorder="1" applyAlignment="1">
      <alignment vertical="top" wrapText="1"/>
    </xf>
    <xf numFmtId="3" fontId="0" fillId="0" borderId="1" xfId="0" applyNumberFormat="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3" fontId="0" fillId="0" borderId="0" xfId="0" applyNumberFormat="1" applyAlignment="1">
      <alignment horizontal="center" vertical="center"/>
    </xf>
    <xf numFmtId="3" fontId="17" fillId="0" borderId="0" xfId="0" applyNumberFormat="1" applyFont="1" applyAlignment="1">
      <alignment vertical="center" wrapText="1"/>
    </xf>
    <xf numFmtId="0" fontId="17" fillId="13" borderId="0" xfId="0" applyFont="1" applyFill="1" applyAlignment="1">
      <alignment horizontal="center" vertical="center"/>
    </xf>
    <xf numFmtId="0" fontId="18" fillId="0" borderId="1" xfId="0" applyFont="1" applyBorder="1" applyAlignment="1">
      <alignment vertical="center"/>
    </xf>
    <xf numFmtId="0" fontId="17" fillId="14" borderId="1" xfId="0" applyFont="1" applyFill="1" applyBorder="1" applyAlignment="1">
      <alignment horizontal="center" vertical="center" wrapText="1"/>
    </xf>
    <xf numFmtId="0" fontId="17" fillId="14" borderId="2" xfId="0" applyFont="1" applyFill="1" applyBorder="1" applyAlignment="1">
      <alignment horizontal="center" vertical="center" wrapText="1"/>
    </xf>
    <xf numFmtId="0" fontId="17" fillId="14" borderId="1" xfId="0" applyFont="1" applyFill="1" applyBorder="1" applyAlignment="1">
      <alignment horizontal="center" vertical="top" wrapText="1"/>
    </xf>
    <xf numFmtId="0" fontId="17" fillId="0" borderId="1" xfId="0" applyFont="1" applyBorder="1" applyAlignment="1">
      <alignment vertical="center" wrapText="1"/>
    </xf>
    <xf numFmtId="0" fontId="0" fillId="0" borderId="1" xfId="0" applyBorder="1" applyAlignment="1">
      <alignment vertical="center" wrapText="1"/>
    </xf>
    <xf numFmtId="0" fontId="17" fillId="0" borderId="0" xfId="0" applyFont="1" applyAlignment="1">
      <alignment vertical="center" wrapText="1"/>
    </xf>
    <xf numFmtId="0" fontId="0" fillId="0" borderId="0" xfId="0" applyAlignment="1">
      <alignment vertical="center" wrapText="1"/>
    </xf>
    <xf numFmtId="3" fontId="0" fillId="0" borderId="0" xfId="0" applyNumberFormat="1" applyAlignment="1">
      <alignment horizontal="center" vertical="center" wrapText="1"/>
    </xf>
    <xf numFmtId="0" fontId="0" fillId="0" borderId="1" xfId="0" applyBorder="1" applyAlignment="1">
      <alignment wrapText="1"/>
    </xf>
    <xf numFmtId="0" fontId="17" fillId="0" borderId="0" xfId="0" applyFont="1"/>
    <xf numFmtId="0" fontId="17" fillId="2" borderId="23" xfId="0" applyFont="1" applyFill="1" applyBorder="1" applyAlignment="1">
      <alignment horizontal="center" vertical="center"/>
    </xf>
    <xf numFmtId="0" fontId="17" fillId="2" borderId="4" xfId="0" applyFont="1" applyFill="1" applyBorder="1" applyAlignment="1">
      <alignment horizontal="center" vertical="center"/>
    </xf>
    <xf numFmtId="6" fontId="0" fillId="0" borderId="0" xfId="0" applyNumberFormat="1"/>
    <xf numFmtId="0" fontId="0" fillId="0" borderId="0" xfId="0" applyAlignment="1">
      <alignment wrapText="1"/>
    </xf>
    <xf numFmtId="0" fontId="7" fillId="0" borderId="0" xfId="0" applyFont="1" applyAlignment="1">
      <alignment wrapText="1"/>
    </xf>
    <xf numFmtId="0" fontId="0" fillId="0" borderId="1" xfId="0" applyBorder="1" applyAlignment="1">
      <alignment horizontal="center" vertical="center"/>
    </xf>
    <xf numFmtId="6" fontId="0" fillId="0" borderId="1" xfId="0" applyNumberFormat="1" applyBorder="1" applyAlignment="1">
      <alignment vertical="top"/>
    </xf>
    <xf numFmtId="6" fontId="0" fillId="0" borderId="1" xfId="0" applyNumberFormat="1" applyBorder="1"/>
    <xf numFmtId="6" fontId="20" fillId="0" borderId="1" xfId="0" applyNumberFormat="1" applyFont="1" applyBorder="1"/>
    <xf numFmtId="0" fontId="20" fillId="0" borderId="1" xfId="0" applyFont="1" applyBorder="1" applyAlignment="1">
      <alignment wrapText="1"/>
    </xf>
    <xf numFmtId="0" fontId="0" fillId="9" borderId="1" xfId="0" applyFill="1" applyBorder="1" applyAlignment="1">
      <alignment horizontal="center" vertical="center" wrapText="1"/>
    </xf>
    <xf numFmtId="0" fontId="0" fillId="9" borderId="3" xfId="0" applyFill="1" applyBorder="1"/>
    <xf numFmtId="0" fontId="0" fillId="9" borderId="2" xfId="0" applyFill="1" applyBorder="1" applyAlignment="1">
      <alignment horizontal="center" vertical="center" wrapText="1"/>
    </xf>
    <xf numFmtId="0" fontId="0" fillId="9" borderId="7" xfId="0" applyFill="1" applyBorder="1"/>
    <xf numFmtId="0" fontId="17" fillId="10" borderId="1"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24"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12" borderId="2" xfId="0" applyFont="1" applyFill="1" applyBorder="1" applyAlignment="1">
      <alignment horizontal="center" vertical="center" wrapText="1"/>
    </xf>
    <xf numFmtId="0" fontId="17" fillId="12" borderId="24" xfId="0" applyFont="1" applyFill="1" applyBorder="1" applyAlignment="1">
      <alignment horizontal="center" vertical="center" wrapText="1"/>
    </xf>
    <xf numFmtId="0" fontId="17" fillId="12" borderId="8" xfId="0" applyFont="1" applyFill="1" applyBorder="1" applyAlignment="1">
      <alignment horizontal="center" vertical="center" wrapText="1"/>
    </xf>
    <xf numFmtId="0" fontId="17" fillId="13" borderId="26" xfId="0" applyFont="1" applyFill="1" applyBorder="1" applyAlignment="1">
      <alignment horizontal="center" vertical="center"/>
    </xf>
    <xf numFmtId="0" fontId="17" fillId="13" borderId="25" xfId="0" applyFont="1" applyFill="1" applyBorder="1" applyAlignment="1">
      <alignment horizontal="center" vertical="center"/>
    </xf>
    <xf numFmtId="0" fontId="17" fillId="13" borderId="27" xfId="0" applyFont="1" applyFill="1" applyBorder="1" applyAlignment="1">
      <alignment horizontal="center" vertical="center"/>
    </xf>
    <xf numFmtId="0" fontId="19" fillId="0" borderId="0" xfId="0" applyFont="1" applyAlignment="1">
      <alignment horizontal="center" vertical="center" wrapText="1"/>
    </xf>
    <xf numFmtId="0" fontId="17" fillId="2" borderId="3" xfId="0" applyFont="1" applyFill="1" applyBorder="1" applyAlignment="1">
      <alignment horizontal="center" vertical="center"/>
    </xf>
    <xf numFmtId="0" fontId="17" fillId="2" borderId="23" xfId="0" applyFont="1" applyFill="1" applyBorder="1" applyAlignment="1">
      <alignment horizontal="center" vertical="center"/>
    </xf>
    <xf numFmtId="0" fontId="17" fillId="2" borderId="4" xfId="0" applyFont="1" applyFill="1" applyBorder="1" applyAlignment="1">
      <alignment horizontal="center" vertical="center"/>
    </xf>
    <xf numFmtId="0" fontId="14" fillId="7" borderId="19" xfId="0" applyFont="1" applyFill="1" applyBorder="1" applyAlignment="1">
      <alignment horizontal="center"/>
    </xf>
    <xf numFmtId="0" fontId="8" fillId="3" borderId="0" xfId="0" applyFont="1" applyFill="1" applyAlignment="1">
      <alignment horizontal="left" vertical="top" wrapText="1"/>
    </xf>
    <xf numFmtId="0" fontId="15" fillId="8" borderId="20" xfId="0" applyFont="1" applyFill="1" applyBorder="1" applyAlignment="1">
      <alignment horizontal="center"/>
    </xf>
    <xf numFmtId="0" fontId="15" fillId="8" borderId="21" xfId="0" applyFont="1" applyFill="1" applyBorder="1" applyAlignment="1">
      <alignment horizontal="center"/>
    </xf>
    <xf numFmtId="0" fontId="15" fillId="8" borderId="22" xfId="0" applyFont="1" applyFill="1" applyBorder="1" applyAlignment="1">
      <alignment horizontal="center"/>
    </xf>
    <xf numFmtId="0" fontId="21" fillId="0" borderId="5" xfId="0" applyFont="1" applyBorder="1"/>
    <xf numFmtId="0" fontId="21" fillId="0" borderId="8" xfId="0" applyFont="1" applyBorder="1"/>
    <xf numFmtId="3" fontId="21" fillId="15" borderId="1" xfId="0" applyNumberFormat="1" applyFont="1" applyFill="1" applyBorder="1"/>
    <xf numFmtId="3" fontId="21" fillId="9" borderId="1" xfId="0" applyNumberFormat="1" applyFont="1" applyFill="1" applyBorder="1"/>
    <xf numFmtId="3" fontId="21" fillId="15" borderId="2" xfId="0" applyNumberFormat="1" applyFont="1" applyFill="1" applyBorder="1"/>
    <xf numFmtId="0" fontId="22" fillId="0" borderId="0" xfId="0" applyFont="1"/>
    <xf numFmtId="0" fontId="21" fillId="16" borderId="4" xfId="0" applyFont="1" applyFill="1" applyBorder="1"/>
    <xf numFmtId="0" fontId="21" fillId="16" borderId="1" xfId="0" applyFont="1" applyFill="1" applyBorder="1"/>
    <xf numFmtId="0" fontId="21" fillId="16" borderId="6" xfId="0" applyFont="1" applyFill="1" applyBorder="1"/>
    <xf numFmtId="0" fontId="21" fillId="16" borderId="2" xfId="0" applyFont="1" applyFill="1" applyBorder="1"/>
  </cellXfs>
  <cellStyles count="1">
    <cellStyle name="Normal" xfId="0" builtinId="0"/>
  </cellStyles>
  <dxfs count="30">
    <dxf>
      <font>
        <strike val="0"/>
        <outline val="0"/>
        <shadow val="0"/>
        <u val="none"/>
        <vertAlign val="baseline"/>
        <sz val="16"/>
        <color theme="1"/>
        <name val="Aptos Narrow"/>
        <family val="2"/>
        <scheme val="minor"/>
      </font>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Aptos Narrow"/>
        <family val="2"/>
        <scheme val="minor"/>
      </font>
      <numFmt numFmtId="3" formatCode="#,##0"/>
      <fill>
        <patternFill patternType="solid">
          <fgColor theme="4" tint="0.79998168889431442"/>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Aptos Narrow"/>
        <family val="2"/>
        <scheme val="minor"/>
      </font>
      <fill>
        <patternFill patternType="solid">
          <fgColor indexed="64"/>
          <bgColor theme="0" tint="-4.9989318521683403E-2"/>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Aptos Narrow"/>
        <family val="2"/>
        <scheme val="minor"/>
      </font>
      <numFmt numFmtId="3" formatCode="#,##0"/>
      <fill>
        <patternFill patternType="solid">
          <fgColor theme="4" tint="0.79998168889431442"/>
          <bgColor theme="0"/>
        </patternFill>
      </fill>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Aptos Narrow"/>
        <family val="2"/>
        <scheme val="minor"/>
      </font>
      <numFmt numFmtId="3" formatCode="#,##0"/>
      <fill>
        <patternFill patternType="solid">
          <fgColor theme="4" tint="0.79998168889431442"/>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Aptos Narrow"/>
        <family val="2"/>
        <scheme val="minor"/>
      </font>
      <numFmt numFmtId="3" formatCode="#,##0"/>
      <fill>
        <patternFill patternType="solid">
          <fgColor theme="4" tint="0.79998168889431442"/>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Aptos Narrow"/>
        <family val="2"/>
        <scheme val="minor"/>
      </font>
      <numFmt numFmtId="3" formatCode="#,##0"/>
      <fill>
        <patternFill patternType="solid">
          <fgColor theme="4" tint="0.79998168889431442"/>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Aptos Narrow"/>
        <family val="2"/>
        <scheme val="minor"/>
      </font>
      <numFmt numFmtId="3" formatCode="#,##0"/>
      <fill>
        <patternFill patternType="solid">
          <fgColor theme="4" tint="0.79998168889431442"/>
          <bgColor theme="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ill>
        <patternFill>
          <bgColor theme="0"/>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bgColor theme="0"/>
        </patternFill>
      </fill>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dxf>
    <dxf>
      <numFmt numFmtId="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checked="Checked" fmlaLink="E13" lockText="1" noThreeD="1"/>
</file>

<file path=xl/ctrlProps/ctrlProp2.xml><?xml version="1.0" encoding="utf-8"?>
<formControlPr xmlns="http://schemas.microsoft.com/office/spreadsheetml/2009/9/main" objectType="CheckBox" checked="Checked" fmlaLink="E12" lockText="1" noThreeD="1"/>
</file>

<file path=xl/ctrlProps/ctrlProp3.xml><?xml version="1.0" encoding="utf-8"?>
<formControlPr xmlns="http://schemas.microsoft.com/office/spreadsheetml/2009/9/main" objectType="CheckBox" checked="Checked" fmlaLink="E14" lockText="1" noThreeD="1"/>
</file>

<file path=xl/ctrlProps/ctrlProp4.xml><?xml version="1.0" encoding="utf-8"?>
<formControlPr xmlns="http://schemas.microsoft.com/office/spreadsheetml/2009/9/main" objectType="CheckBox" checked="Checked" fmlaLink="E15"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736600</xdr:colOff>
          <xdr:row>12</xdr:row>
          <xdr:rowOff>25400</xdr:rowOff>
        </xdr:from>
        <xdr:to>
          <xdr:col>7</xdr:col>
          <xdr:colOff>139700</xdr:colOff>
          <xdr:row>12</xdr:row>
          <xdr:rowOff>393700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8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736600</xdr:colOff>
          <xdr:row>10</xdr:row>
          <xdr:rowOff>279400</xdr:rowOff>
        </xdr:from>
        <xdr:to>
          <xdr:col>7</xdr:col>
          <xdr:colOff>330200</xdr:colOff>
          <xdr:row>12</xdr:row>
          <xdr:rowOff>50800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8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736600</xdr:colOff>
          <xdr:row>12</xdr:row>
          <xdr:rowOff>406400</xdr:rowOff>
        </xdr:from>
        <xdr:to>
          <xdr:col>7</xdr:col>
          <xdr:colOff>139700</xdr:colOff>
          <xdr:row>13</xdr:row>
          <xdr:rowOff>355600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8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endParaRPr lang="en-GB" sz="1200" b="0" i="0" u="none" strike="noStrike" baseline="0">
                <a:solidFill>
                  <a:srgbClr val="000000"/>
                </a:solidFill>
                <a:latin typeface="Aptos Narrow" charset="0"/>
              </a:endParaRPr>
            </a:p>
            <a:p>
              <a:pPr algn="l" rtl="0">
                <a:defRPr sz="1000"/>
              </a:pPr>
              <a:endParaRPr lang="en-GB" sz="12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723900</xdr:colOff>
          <xdr:row>14</xdr:row>
          <xdr:rowOff>12700</xdr:rowOff>
        </xdr:from>
        <xdr:to>
          <xdr:col>7</xdr:col>
          <xdr:colOff>127000</xdr:colOff>
          <xdr:row>14</xdr:row>
          <xdr:rowOff>393700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800-00000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endParaRPr lang="en-GB" sz="1800" b="0" i="0" u="none" strike="noStrike" baseline="0">
                <a:solidFill>
                  <a:srgbClr val="000000"/>
                </a:solidFill>
                <a:latin typeface="Aptos Narrow" charset="0"/>
              </a:endParaRPr>
            </a:p>
            <a:p>
              <a:pPr algn="l" rtl="0">
                <a:defRPr sz="1000"/>
              </a:pPr>
              <a:endParaRPr lang="en-GB" sz="1800" b="0" i="0" u="none" strike="noStrike" baseline="0">
                <a:solidFill>
                  <a:srgbClr val="000000"/>
                </a:solidFill>
                <a:latin typeface="Aptos Narrow" charset="0"/>
              </a:endParaRPr>
            </a:p>
          </xdr:txBody>
        </xdr:sp>
        <xdr:clientData/>
      </xdr:twoCellAnchor>
    </mc:Choice>
    <mc:Fallback/>
  </mc:AlternateContent>
  <xdr:twoCellAnchor editAs="oneCell">
    <xdr:from>
      <xdr:col>3</xdr:col>
      <xdr:colOff>454378</xdr:colOff>
      <xdr:row>9</xdr:row>
      <xdr:rowOff>80599</xdr:rowOff>
    </xdr:from>
    <xdr:to>
      <xdr:col>3</xdr:col>
      <xdr:colOff>1933223</xdr:colOff>
      <xdr:row>10</xdr:row>
      <xdr:rowOff>311781</xdr:rowOff>
    </xdr:to>
    <xdr:pic>
      <xdr:nvPicPr>
        <xdr:cNvPr id="2" name="Picture 1">
          <a:extLst>
            <a:ext uri="{FF2B5EF4-FFF2-40B4-BE49-F238E27FC236}">
              <a16:creationId xmlns:a16="http://schemas.microsoft.com/office/drawing/2014/main" id="{3D68DF62-83AE-D608-316C-33214C56D3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79711" y="5400488"/>
          <a:ext cx="1478845" cy="483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6015A-B0D2-AC46-8417-BCC9277B8403}" name="Realestate_tbl" displayName="Realestate_tbl" ref="A1:C35" totalsRowShown="0" headerRowBorderDxfId="29" tableBorderDxfId="28" totalsRowBorderDxfId="27">
  <autoFilter ref="A1:C35" xr:uid="{7B86015A-B0D2-AC46-8417-BCC9277B8403}"/>
  <tableColumns count="3">
    <tableColumn id="1" xr3:uid="{EA33A031-548E-CF42-9B1E-12DC798BA506}" name="Tier" dataDxfId="26"/>
    <tableColumn id="2" xr3:uid="{02EF78F8-507E-5D40-882A-52E3E0DCC50E}" name="City" dataDxfId="25"/>
    <tableColumn id="3" xr3:uid="{C4803096-6DF9-6549-951F-77C85CBFE4A6}" name="Cost_INR_PM"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E259ED-5C0F-344E-9A3E-C7076BFDACC4}" name="ITInfra_tbl" displayName="ITInfra_tbl" ref="A1:C35" totalsRowShown="0">
  <autoFilter ref="A1:C35" xr:uid="{A1E259ED-5C0F-344E-9A3E-C7076BFDACC4}"/>
  <tableColumns count="3">
    <tableColumn id="1" xr3:uid="{FA036F2E-90CB-C147-ADF9-3999FFA01DB2}" name="Tier"/>
    <tableColumn id="2" xr3:uid="{68A0CA78-B1B2-0C4C-9283-D0F6F40D50C5}" name="City"/>
    <tableColumn id="3" xr3:uid="{CE7D1566-C2CC-F44A-A77C-6CAFB65F800B}" name="Cost_INR_PM"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C67F77-C475-2E42-94BD-0ADA6D7E321C}" name="Plans_tbl" displayName="Plans_tbl" ref="A1:L6" totalsRowShown="0" headerRowDxfId="22" dataDxfId="20" headerRowBorderDxfId="21" tableBorderDxfId="19" totalsRowBorderDxfId="18">
  <autoFilter ref="A1:L6" xr:uid="{E7C67F77-C475-2E42-94BD-0ADA6D7E321C}"/>
  <tableColumns count="12">
    <tableColumn id="1" xr3:uid="{A4E38190-D160-8246-82C6-170D36E94B44}" name="MinHC" dataDxfId="2"/>
    <tableColumn id="2" xr3:uid="{6A76964C-A93C-E147-B12C-42883A862DE0}" name="MaxHC" dataDxfId="0"/>
    <tableColumn id="3" xr3:uid="{E2ED86CE-93CE-854A-BC92-7A5F08FBF815}" name="Enab_Basic" dataDxfId="1"/>
    <tableColumn id="4" xr3:uid="{2651B231-8D20-1148-AE58-F85569D5AF83}" name="Enab_Premium" dataDxfId="8"/>
    <tableColumn id="5" xr3:uid="{E0C9D504-4D4C-EA4A-BD9F-2A67047F661D}" name="Enab_Advance" dataDxfId="7"/>
    <tableColumn id="6" xr3:uid="{95C32760-C588-7A49-A15B-16A3E3DABBEB}" name="Tech_Basic" dataDxfId="6"/>
    <tableColumn id="7" xr3:uid="{0ABBEE2A-249F-D342-9D26-ED490C682BCF}" name="Tech_Premium" dataDxfId="5"/>
    <tableColumn id="8" xr3:uid="{F742052E-229A-0444-AC1F-55DFB6052BD2}" name="Tech_Advance" dataDxfId="3"/>
    <tableColumn id="9" xr3:uid="{83D24B68-F5CD-054C-B134-ECD86B020B2A}" name="en add orem" dataDxfId="4"/>
    <tableColumn id="10" xr3:uid="{5098C502-1478-8E46-9FBF-5C04462A06FC}" name="en add adv" dataDxfId="17"/>
    <tableColumn id="11" xr3:uid="{CDAED2D0-3B3B-994A-8CB1-DF9E8784E0F8}" name="tech add prem" dataDxfId="16"/>
    <tableColumn id="12" xr3:uid="{2C9CA99D-6631-DE46-8DD3-5E327D4EA4FD}" name="tech add adv"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1AC36D-2673-2542-ABB4-86DF96D7863B}" name="T" displayName="T" ref="A1:B35" totalsRowShown="0" headerRowDxfId="14" headerRowBorderDxfId="13" tableBorderDxfId="12" totalsRowBorderDxfId="11">
  <autoFilter ref="A1:B35" xr:uid="{2A1AC36D-2673-2542-ABB4-86DF96D7863B}"/>
  <tableColumns count="2">
    <tableColumn id="1" xr3:uid="{57314DA9-FE2C-4641-8E36-B902F94186CA}" name="Tier" dataDxfId="10"/>
    <tableColumn id="2" xr3:uid="{AE04A17B-1F9D-3947-89BA-D761280026FF}" name="City"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ED361-98DD-5244-B6BB-93823025B113}">
  <dimension ref="A1:H51"/>
  <sheetViews>
    <sheetView workbookViewId="0">
      <selection activeCell="E55" sqref="E55"/>
    </sheetView>
  </sheetViews>
  <sheetFormatPr baseColWidth="10" defaultRowHeight="16" x14ac:dyDescent="0.2"/>
  <cols>
    <col min="1" max="1" width="2.83203125" customWidth="1"/>
    <col min="2" max="2" width="7.5" bestFit="1" customWidth="1"/>
    <col min="3" max="3" width="13.5" bestFit="1" customWidth="1"/>
    <col min="4" max="4" width="31.5" bestFit="1" customWidth="1"/>
    <col min="5" max="5" width="31.5" customWidth="1"/>
    <col min="6" max="6" width="77.5" customWidth="1"/>
    <col min="7" max="7" width="20.5" customWidth="1"/>
  </cols>
  <sheetData>
    <row r="1" spans="1:8" x14ac:dyDescent="0.2">
      <c r="A1" s="46"/>
      <c r="B1" s="46"/>
      <c r="C1" s="46"/>
      <c r="D1" s="46"/>
      <c r="E1" s="46"/>
      <c r="F1" s="46"/>
      <c r="G1" s="46"/>
      <c r="H1" s="46"/>
    </row>
    <row r="2" spans="1:8" ht="32" x14ac:dyDescent="0.2">
      <c r="A2" s="46"/>
      <c r="B2" s="47" t="s">
        <v>92</v>
      </c>
      <c r="C2" s="47" t="s">
        <v>0</v>
      </c>
      <c r="D2" s="47" t="s">
        <v>93</v>
      </c>
      <c r="E2" s="47" t="s">
        <v>94</v>
      </c>
      <c r="F2" s="47" t="s">
        <v>95</v>
      </c>
      <c r="G2" s="48"/>
      <c r="H2" s="46"/>
    </row>
    <row r="3" spans="1:8" ht="17" x14ac:dyDescent="0.2">
      <c r="A3" s="46"/>
      <c r="B3" s="98" t="s">
        <v>1</v>
      </c>
      <c r="C3" s="49" t="s">
        <v>2</v>
      </c>
      <c r="D3" s="49" t="s">
        <v>96</v>
      </c>
      <c r="E3" s="50">
        <v>20000</v>
      </c>
      <c r="F3" s="51" t="s">
        <v>97</v>
      </c>
      <c r="G3" s="46"/>
      <c r="H3" s="46"/>
    </row>
    <row r="4" spans="1:8" ht="17" x14ac:dyDescent="0.2">
      <c r="A4" s="46"/>
      <c r="B4" s="98"/>
      <c r="C4" s="49" t="s">
        <v>98</v>
      </c>
      <c r="D4" s="49" t="s">
        <v>99</v>
      </c>
      <c r="E4" s="50">
        <v>16000</v>
      </c>
      <c r="F4" s="51" t="s">
        <v>100</v>
      </c>
      <c r="G4" s="46"/>
      <c r="H4" s="46"/>
    </row>
    <row r="5" spans="1:8" ht="17" x14ac:dyDescent="0.2">
      <c r="A5" s="46"/>
      <c r="B5" s="98"/>
      <c r="C5" s="49" t="s">
        <v>3</v>
      </c>
      <c r="D5" s="49" t="s">
        <v>101</v>
      </c>
      <c r="E5" s="50">
        <v>11500</v>
      </c>
      <c r="F5" s="51" t="s">
        <v>102</v>
      </c>
      <c r="G5" s="46"/>
      <c r="H5" s="46"/>
    </row>
    <row r="6" spans="1:8" ht="17" x14ac:dyDescent="0.2">
      <c r="A6" s="46"/>
      <c r="B6" s="98"/>
      <c r="C6" s="49" t="s">
        <v>4</v>
      </c>
      <c r="D6" s="49" t="s">
        <v>103</v>
      </c>
      <c r="E6" s="50">
        <v>17500</v>
      </c>
      <c r="F6" s="51" t="s">
        <v>104</v>
      </c>
      <c r="G6" s="46"/>
      <c r="H6" s="46"/>
    </row>
    <row r="7" spans="1:8" ht="17" x14ac:dyDescent="0.2">
      <c r="A7" s="46"/>
      <c r="B7" s="98"/>
      <c r="C7" s="49" t="s">
        <v>5</v>
      </c>
      <c r="D7" s="49" t="s">
        <v>105</v>
      </c>
      <c r="E7" s="50">
        <v>15000</v>
      </c>
      <c r="F7" s="51" t="s">
        <v>106</v>
      </c>
      <c r="G7" s="46"/>
      <c r="H7" s="46"/>
    </row>
    <row r="8" spans="1:8" ht="17" x14ac:dyDescent="0.2">
      <c r="A8" s="46"/>
      <c r="B8" s="98"/>
      <c r="C8" s="49" t="s">
        <v>6</v>
      </c>
      <c r="D8" s="49" t="s">
        <v>107</v>
      </c>
      <c r="E8" s="50">
        <v>13500</v>
      </c>
      <c r="F8" s="51" t="s">
        <v>108</v>
      </c>
      <c r="G8" s="46"/>
      <c r="H8" s="46"/>
    </row>
    <row r="9" spans="1:8" ht="17" x14ac:dyDescent="0.2">
      <c r="A9" s="46"/>
      <c r="B9" s="98"/>
      <c r="C9" s="49" t="s">
        <v>7</v>
      </c>
      <c r="D9" s="49" t="s">
        <v>109</v>
      </c>
      <c r="E9" s="50">
        <v>12500</v>
      </c>
      <c r="F9" s="51" t="s">
        <v>110</v>
      </c>
      <c r="G9" s="46"/>
      <c r="H9" s="46"/>
    </row>
    <row r="10" spans="1:8" ht="17" x14ac:dyDescent="0.2">
      <c r="A10" s="46"/>
      <c r="B10" s="98"/>
      <c r="C10" s="49" t="s">
        <v>8</v>
      </c>
      <c r="D10" s="49" t="s">
        <v>111</v>
      </c>
      <c r="E10" s="50">
        <v>8500</v>
      </c>
      <c r="F10" s="51" t="s">
        <v>112</v>
      </c>
      <c r="G10" s="46"/>
      <c r="H10" s="46"/>
    </row>
    <row r="11" spans="1:8" ht="17" x14ac:dyDescent="0.2">
      <c r="A11" s="46"/>
      <c r="B11" s="98"/>
      <c r="C11" s="49" t="s">
        <v>9</v>
      </c>
      <c r="D11" s="49" t="s">
        <v>113</v>
      </c>
      <c r="E11" s="50">
        <v>14000</v>
      </c>
      <c r="F11" s="51" t="s">
        <v>114</v>
      </c>
      <c r="G11" s="46"/>
      <c r="H11" s="46"/>
    </row>
    <row r="12" spans="1:8" ht="17" x14ac:dyDescent="0.2">
      <c r="A12" s="46"/>
      <c r="B12" s="99" t="s">
        <v>10</v>
      </c>
      <c r="C12" s="52" t="s">
        <v>11</v>
      </c>
      <c r="D12" s="52" t="s">
        <v>115</v>
      </c>
      <c r="E12" s="53">
        <v>8000</v>
      </c>
      <c r="F12" s="54"/>
      <c r="G12" s="46"/>
      <c r="H12" s="46"/>
    </row>
    <row r="13" spans="1:8" ht="17" x14ac:dyDescent="0.2">
      <c r="A13" s="46"/>
      <c r="B13" s="100"/>
      <c r="C13" s="52" t="s">
        <v>12</v>
      </c>
      <c r="D13" s="52" t="s">
        <v>116</v>
      </c>
      <c r="E13" s="53">
        <v>7000</v>
      </c>
      <c r="F13" s="54" t="s">
        <v>117</v>
      </c>
      <c r="G13" s="46"/>
      <c r="H13" s="46"/>
    </row>
    <row r="14" spans="1:8" ht="17" x14ac:dyDescent="0.2">
      <c r="A14" s="46"/>
      <c r="B14" s="100"/>
      <c r="C14" s="52" t="s">
        <v>13</v>
      </c>
      <c r="D14" s="52" t="s">
        <v>118</v>
      </c>
      <c r="E14" s="53">
        <v>7500</v>
      </c>
      <c r="F14" s="54" t="s">
        <v>119</v>
      </c>
      <c r="G14" s="46"/>
      <c r="H14" s="46"/>
    </row>
    <row r="15" spans="1:8" ht="17" x14ac:dyDescent="0.2">
      <c r="A15" s="46"/>
      <c r="B15" s="100"/>
      <c r="C15" s="52" t="s">
        <v>14</v>
      </c>
      <c r="D15" s="52" t="s">
        <v>120</v>
      </c>
      <c r="E15" s="53">
        <v>9000</v>
      </c>
      <c r="F15" s="54" t="s">
        <v>121</v>
      </c>
      <c r="G15" s="46"/>
      <c r="H15" s="46"/>
    </row>
    <row r="16" spans="1:8" ht="17" x14ac:dyDescent="0.2">
      <c r="A16" s="46"/>
      <c r="B16" s="100"/>
      <c r="C16" s="52" t="s">
        <v>15</v>
      </c>
      <c r="D16" s="52" t="s">
        <v>118</v>
      </c>
      <c r="E16" s="53">
        <v>7500</v>
      </c>
      <c r="F16" s="54" t="s">
        <v>122</v>
      </c>
      <c r="G16" s="46"/>
      <c r="H16" s="46"/>
    </row>
    <row r="17" spans="1:8" ht="17" x14ac:dyDescent="0.2">
      <c r="A17" s="46"/>
      <c r="B17" s="100"/>
      <c r="C17" s="52" t="s">
        <v>123</v>
      </c>
      <c r="D17" s="52" t="s">
        <v>124</v>
      </c>
      <c r="E17" s="53">
        <v>10000</v>
      </c>
      <c r="F17" s="54"/>
      <c r="G17" s="46"/>
      <c r="H17" s="46"/>
    </row>
    <row r="18" spans="1:8" ht="17" x14ac:dyDescent="0.2">
      <c r="A18" s="46"/>
      <c r="B18" s="100"/>
      <c r="C18" s="55" t="s">
        <v>16</v>
      </c>
      <c r="D18" s="52" t="s">
        <v>124</v>
      </c>
      <c r="E18" s="53">
        <v>10000</v>
      </c>
      <c r="F18" s="54"/>
      <c r="G18" s="46"/>
      <c r="H18" s="46"/>
    </row>
    <row r="19" spans="1:8" ht="17" x14ac:dyDescent="0.2">
      <c r="A19" s="46"/>
      <c r="B19" s="100"/>
      <c r="C19" s="55" t="s">
        <v>17</v>
      </c>
      <c r="D19" s="52" t="s">
        <v>124</v>
      </c>
      <c r="E19" s="53">
        <v>10000</v>
      </c>
      <c r="F19" s="54"/>
      <c r="G19" s="46"/>
      <c r="H19" s="46"/>
    </row>
    <row r="20" spans="1:8" ht="17" x14ac:dyDescent="0.2">
      <c r="A20" s="46"/>
      <c r="B20" s="100"/>
      <c r="C20" s="55" t="s">
        <v>18</v>
      </c>
      <c r="D20" s="52" t="s">
        <v>124</v>
      </c>
      <c r="E20" s="53">
        <v>10000</v>
      </c>
      <c r="F20" s="54"/>
      <c r="G20" s="46"/>
      <c r="H20" s="46"/>
    </row>
    <row r="21" spans="1:8" ht="17" x14ac:dyDescent="0.2">
      <c r="A21" s="46"/>
      <c r="B21" s="100"/>
      <c r="C21" s="55" t="s">
        <v>19</v>
      </c>
      <c r="D21" s="52" t="s">
        <v>124</v>
      </c>
      <c r="E21" s="53">
        <v>10000</v>
      </c>
      <c r="F21" s="54"/>
      <c r="G21" s="46"/>
      <c r="H21" s="46"/>
    </row>
    <row r="22" spans="1:8" ht="17" x14ac:dyDescent="0.2">
      <c r="A22" s="46"/>
      <c r="B22" s="100"/>
      <c r="C22" s="55" t="s">
        <v>20</v>
      </c>
      <c r="D22" s="52" t="s">
        <v>124</v>
      </c>
      <c r="E22" s="53">
        <v>10000</v>
      </c>
      <c r="F22" s="54"/>
      <c r="G22" s="46"/>
      <c r="H22" s="46"/>
    </row>
    <row r="23" spans="1:8" ht="17" x14ac:dyDescent="0.2">
      <c r="A23" s="46"/>
      <c r="B23" s="100"/>
      <c r="C23" s="52" t="s">
        <v>21</v>
      </c>
      <c r="D23" s="52" t="s">
        <v>125</v>
      </c>
      <c r="E23" s="53">
        <v>6500</v>
      </c>
      <c r="F23" s="54" t="s">
        <v>126</v>
      </c>
      <c r="G23" s="46"/>
      <c r="H23" s="46"/>
    </row>
    <row r="24" spans="1:8" ht="17" x14ac:dyDescent="0.2">
      <c r="A24" s="46"/>
      <c r="B24" s="100"/>
      <c r="C24" s="52" t="s">
        <v>22</v>
      </c>
      <c r="D24" s="52" t="s">
        <v>127</v>
      </c>
      <c r="E24" s="53">
        <v>10500</v>
      </c>
      <c r="F24" s="54" t="s">
        <v>128</v>
      </c>
      <c r="G24" s="46"/>
      <c r="H24" s="46"/>
    </row>
    <row r="25" spans="1:8" ht="17" x14ac:dyDescent="0.2">
      <c r="A25" s="46"/>
      <c r="B25" s="100"/>
      <c r="C25" s="52" t="s">
        <v>23</v>
      </c>
      <c r="D25" s="52" t="s">
        <v>129</v>
      </c>
      <c r="E25" s="53">
        <v>9000</v>
      </c>
      <c r="F25" s="54" t="s">
        <v>130</v>
      </c>
      <c r="G25" s="46"/>
      <c r="H25" s="46"/>
    </row>
    <row r="26" spans="1:8" ht="17" x14ac:dyDescent="0.2">
      <c r="A26" s="46"/>
      <c r="B26" s="100"/>
      <c r="C26" s="52" t="s">
        <v>24</v>
      </c>
      <c r="D26" s="52" t="s">
        <v>111</v>
      </c>
      <c r="E26" s="53">
        <v>8500</v>
      </c>
      <c r="F26" s="54" t="s">
        <v>131</v>
      </c>
      <c r="G26" s="46"/>
      <c r="H26" s="46"/>
    </row>
    <row r="27" spans="1:8" ht="17" x14ac:dyDescent="0.2">
      <c r="A27" s="46"/>
      <c r="B27" s="100"/>
      <c r="C27" s="52" t="s">
        <v>25</v>
      </c>
      <c r="D27" s="52" t="s">
        <v>116</v>
      </c>
      <c r="E27" s="53">
        <v>7000</v>
      </c>
      <c r="F27" s="54" t="s">
        <v>132</v>
      </c>
      <c r="G27" s="46"/>
      <c r="H27" s="46"/>
    </row>
    <row r="28" spans="1:8" ht="17" x14ac:dyDescent="0.2">
      <c r="A28" s="46"/>
      <c r="B28" s="100"/>
      <c r="C28" s="52" t="s">
        <v>26</v>
      </c>
      <c r="D28" s="52" t="s">
        <v>133</v>
      </c>
      <c r="E28" s="53">
        <v>10000</v>
      </c>
      <c r="F28" s="54" t="s">
        <v>134</v>
      </c>
      <c r="G28" s="46"/>
      <c r="H28" s="46"/>
    </row>
    <row r="29" spans="1:8" ht="17" x14ac:dyDescent="0.2">
      <c r="A29" s="46"/>
      <c r="B29" s="100"/>
      <c r="C29" s="52" t="s">
        <v>27</v>
      </c>
      <c r="D29" s="52" t="s">
        <v>135</v>
      </c>
      <c r="E29" s="53">
        <v>7000</v>
      </c>
      <c r="F29" s="54" t="s">
        <v>136</v>
      </c>
      <c r="G29" s="46"/>
      <c r="H29" s="46"/>
    </row>
    <row r="30" spans="1:8" ht="17" x14ac:dyDescent="0.2">
      <c r="A30" s="46"/>
      <c r="B30" s="100"/>
      <c r="C30" s="52" t="s">
        <v>28</v>
      </c>
      <c r="D30" s="52" t="s">
        <v>137</v>
      </c>
      <c r="E30" s="53">
        <v>6500</v>
      </c>
      <c r="F30" s="54" t="s">
        <v>138</v>
      </c>
      <c r="G30" s="46"/>
      <c r="H30" s="46"/>
    </row>
    <row r="31" spans="1:8" ht="17" x14ac:dyDescent="0.2">
      <c r="A31" s="46"/>
      <c r="B31" s="101"/>
      <c r="C31" s="52" t="s">
        <v>29</v>
      </c>
      <c r="D31" s="52" t="s">
        <v>139</v>
      </c>
      <c r="E31" s="53">
        <v>7000</v>
      </c>
      <c r="F31" s="54" t="s">
        <v>140</v>
      </c>
      <c r="G31" s="46"/>
      <c r="H31" s="46"/>
    </row>
    <row r="32" spans="1:8" ht="17" x14ac:dyDescent="0.2">
      <c r="A32" s="46"/>
      <c r="B32" s="102" t="s">
        <v>30</v>
      </c>
      <c r="C32" s="55" t="s">
        <v>31</v>
      </c>
      <c r="D32" s="56" t="s">
        <v>124</v>
      </c>
      <c r="E32" s="57">
        <v>10000</v>
      </c>
      <c r="F32" s="58"/>
      <c r="G32" s="46"/>
      <c r="H32" s="46"/>
    </row>
    <row r="33" spans="1:8" ht="17" x14ac:dyDescent="0.2">
      <c r="A33" s="46"/>
      <c r="B33" s="103"/>
      <c r="C33" s="55" t="s">
        <v>32</v>
      </c>
      <c r="D33" s="56" t="s">
        <v>124</v>
      </c>
      <c r="E33" s="57">
        <v>10000</v>
      </c>
      <c r="F33" s="58"/>
      <c r="G33" s="46"/>
      <c r="H33" s="46"/>
    </row>
    <row r="34" spans="1:8" ht="17" x14ac:dyDescent="0.2">
      <c r="A34" s="46"/>
      <c r="B34" s="103"/>
      <c r="C34" s="55" t="s">
        <v>33</v>
      </c>
      <c r="D34" s="56" t="s">
        <v>124</v>
      </c>
      <c r="E34" s="57">
        <v>10000</v>
      </c>
      <c r="F34" s="58"/>
      <c r="G34" s="46"/>
      <c r="H34" s="46"/>
    </row>
    <row r="35" spans="1:8" ht="17" x14ac:dyDescent="0.2">
      <c r="A35" s="46"/>
      <c r="B35" s="103"/>
      <c r="C35" s="55" t="s">
        <v>34</v>
      </c>
      <c r="D35" s="56" t="s">
        <v>124</v>
      </c>
      <c r="E35" s="57">
        <v>10000</v>
      </c>
      <c r="F35" s="58"/>
      <c r="G35" s="46"/>
      <c r="H35" s="46"/>
    </row>
    <row r="36" spans="1:8" ht="17" x14ac:dyDescent="0.2">
      <c r="A36" s="46"/>
      <c r="B36" s="104"/>
      <c r="C36" s="55" t="s">
        <v>35</v>
      </c>
      <c r="D36" s="56" t="s">
        <v>124</v>
      </c>
      <c r="E36" s="57">
        <v>10000</v>
      </c>
      <c r="F36" s="58"/>
      <c r="G36" s="46"/>
      <c r="H36" s="46"/>
    </row>
    <row r="37" spans="1:8" x14ac:dyDescent="0.2">
      <c r="A37" s="46"/>
      <c r="B37" s="46"/>
      <c r="C37" s="1"/>
      <c r="D37" s="59" t="s">
        <v>141</v>
      </c>
      <c r="E37" s="46"/>
      <c r="F37" s="46"/>
      <c r="G37" s="46"/>
      <c r="H37" s="46"/>
    </row>
    <row r="38" spans="1:8" x14ac:dyDescent="0.2">
      <c r="A38" s="1"/>
      <c r="B38" s="1"/>
      <c r="C38" s="1"/>
      <c r="D38" s="1"/>
      <c r="E38" s="1"/>
      <c r="F38" s="1"/>
      <c r="G38" s="1"/>
      <c r="H38" s="1"/>
    </row>
    <row r="39" spans="1:8" x14ac:dyDescent="0.2">
      <c r="A39" s="1"/>
      <c r="B39" s="1"/>
      <c r="C39" s="60" t="s">
        <v>142</v>
      </c>
      <c r="G39" s="1"/>
      <c r="H39" s="1"/>
    </row>
    <row r="40" spans="1:8" x14ac:dyDescent="0.2">
      <c r="A40" s="1"/>
      <c r="B40" s="1"/>
      <c r="C40" s="61" t="s">
        <v>0</v>
      </c>
      <c r="D40" s="61" t="s">
        <v>143</v>
      </c>
      <c r="E40" s="61" t="s">
        <v>144</v>
      </c>
      <c r="F40" s="1"/>
      <c r="G40" s="1"/>
      <c r="H40" s="1"/>
    </row>
    <row r="41" spans="1:8" ht="34" x14ac:dyDescent="0.2">
      <c r="A41" s="1"/>
      <c r="B41" s="1"/>
      <c r="C41" s="61" t="s">
        <v>5</v>
      </c>
      <c r="D41" s="42" t="s">
        <v>145</v>
      </c>
      <c r="E41" s="42" t="s">
        <v>146</v>
      </c>
      <c r="F41" s="1"/>
      <c r="G41" s="1"/>
      <c r="H41" s="1"/>
    </row>
    <row r="42" spans="1:8" ht="34" x14ac:dyDescent="0.2">
      <c r="A42" s="1"/>
      <c r="B42" s="1"/>
      <c r="C42" s="61" t="s">
        <v>7</v>
      </c>
      <c r="D42" s="42" t="s">
        <v>147</v>
      </c>
      <c r="E42" s="42" t="s">
        <v>148</v>
      </c>
      <c r="F42" s="1"/>
      <c r="G42" s="1"/>
      <c r="H42" s="1"/>
    </row>
    <row r="43" spans="1:8" ht="34" x14ac:dyDescent="0.2">
      <c r="A43" s="1"/>
      <c r="B43" s="1"/>
      <c r="C43" s="61" t="s">
        <v>9</v>
      </c>
      <c r="D43" s="42" t="s">
        <v>149</v>
      </c>
      <c r="E43" s="42" t="s">
        <v>150</v>
      </c>
      <c r="F43" s="1"/>
      <c r="G43" s="1"/>
      <c r="H43" s="1"/>
    </row>
    <row r="44" spans="1:8" ht="51" x14ac:dyDescent="0.2">
      <c r="A44" s="1"/>
      <c r="B44" s="1"/>
      <c r="C44" s="61" t="s">
        <v>2</v>
      </c>
      <c r="D44" s="42" t="s">
        <v>151</v>
      </c>
      <c r="E44" s="42" t="s">
        <v>152</v>
      </c>
      <c r="F44" s="1"/>
      <c r="G44" s="1"/>
      <c r="H44" s="1"/>
    </row>
    <row r="45" spans="1:8" ht="48" x14ac:dyDescent="0.2">
      <c r="A45" s="1"/>
      <c r="B45" s="1"/>
      <c r="C45" s="61" t="s">
        <v>153</v>
      </c>
      <c r="D45" s="42" t="s">
        <v>154</v>
      </c>
      <c r="E45" s="42" t="s">
        <v>155</v>
      </c>
      <c r="F45" s="1"/>
      <c r="G45" s="1"/>
      <c r="H45" s="1"/>
    </row>
    <row r="46" spans="1:8" ht="34" x14ac:dyDescent="0.2">
      <c r="A46" s="1"/>
      <c r="B46" s="1"/>
      <c r="C46" s="61" t="s">
        <v>6</v>
      </c>
      <c r="D46" s="42" t="s">
        <v>156</v>
      </c>
      <c r="E46" s="42" t="s">
        <v>157</v>
      </c>
      <c r="F46" s="1"/>
      <c r="G46" s="1"/>
      <c r="H46" s="1"/>
    </row>
    <row r="47" spans="1:8" ht="34" x14ac:dyDescent="0.2">
      <c r="A47" s="46"/>
      <c r="B47" s="46"/>
      <c r="C47" s="61" t="s">
        <v>158</v>
      </c>
      <c r="D47" s="42" t="s">
        <v>159</v>
      </c>
      <c r="E47" s="42" t="s">
        <v>160</v>
      </c>
      <c r="F47" s="46"/>
      <c r="G47" s="46"/>
      <c r="H47" s="46"/>
    </row>
    <row r="48" spans="1:8" ht="51" x14ac:dyDescent="0.2">
      <c r="A48" s="46"/>
      <c r="B48" s="46"/>
      <c r="C48" s="61" t="s">
        <v>161</v>
      </c>
      <c r="D48" s="42" t="s">
        <v>162</v>
      </c>
      <c r="E48" s="42" t="s">
        <v>163</v>
      </c>
      <c r="F48" s="46"/>
      <c r="G48" s="46"/>
      <c r="H48" s="46"/>
    </row>
    <row r="49" spans="1:8" x14ac:dyDescent="0.2">
      <c r="A49" s="46"/>
      <c r="B49" s="46"/>
      <c r="C49" s="46"/>
      <c r="D49" s="46"/>
      <c r="E49" s="46"/>
      <c r="F49" s="46"/>
      <c r="G49" s="46"/>
      <c r="H49" s="46"/>
    </row>
    <row r="50" spans="1:8" x14ac:dyDescent="0.2">
      <c r="A50" s="46"/>
      <c r="B50" s="46"/>
      <c r="C50" s="46"/>
      <c r="D50" s="46"/>
      <c r="E50" s="46"/>
      <c r="F50" s="46"/>
      <c r="G50" s="46"/>
      <c r="H50" s="46"/>
    </row>
    <row r="51" spans="1:8" x14ac:dyDescent="0.2">
      <c r="A51" s="46"/>
      <c r="B51" s="46"/>
      <c r="C51" s="46"/>
      <c r="D51" s="46"/>
      <c r="E51" s="46"/>
      <c r="F51" s="46"/>
      <c r="G51" s="46"/>
      <c r="H51" s="46"/>
    </row>
  </sheetData>
  <mergeCells count="3">
    <mergeCell ref="B3:B11"/>
    <mergeCell ref="B12:B31"/>
    <mergeCell ref="B32:B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3F766-DD18-5A40-82C2-D7394889810F}">
  <dimension ref="A1:L67"/>
  <sheetViews>
    <sheetView workbookViewId="0">
      <selection activeCell="E2" sqref="E2"/>
    </sheetView>
  </sheetViews>
  <sheetFormatPr baseColWidth="10" defaultRowHeight="16" x14ac:dyDescent="0.2"/>
  <cols>
    <col min="2" max="2" width="15.33203125" customWidth="1"/>
    <col min="3" max="4" width="0" hidden="1" customWidth="1"/>
    <col min="5" max="6" width="11.5"/>
    <col min="7" max="7" width="37.83203125" customWidth="1"/>
    <col min="8" max="8" width="18.33203125" customWidth="1"/>
  </cols>
  <sheetData>
    <row r="1" spans="1:5" x14ac:dyDescent="0.2">
      <c r="A1" t="s">
        <v>201</v>
      </c>
      <c r="B1" t="s">
        <v>202</v>
      </c>
      <c r="E1" t="s">
        <v>203</v>
      </c>
    </row>
    <row r="2" spans="1:5" x14ac:dyDescent="0.2">
      <c r="A2" t="s">
        <v>1</v>
      </c>
      <c r="B2" t="s">
        <v>2</v>
      </c>
      <c r="C2">
        <v>54630</v>
      </c>
      <c r="D2">
        <v>14630</v>
      </c>
      <c r="E2">
        <v>10650</v>
      </c>
    </row>
    <row r="3" spans="1:5" x14ac:dyDescent="0.2">
      <c r="A3" t="s">
        <v>1</v>
      </c>
      <c r="B3" t="s">
        <v>37</v>
      </c>
      <c r="C3">
        <v>54630</v>
      </c>
      <c r="D3">
        <v>14630</v>
      </c>
      <c r="E3">
        <v>10650</v>
      </c>
    </row>
    <row r="4" spans="1:5" x14ac:dyDescent="0.2">
      <c r="A4" t="s">
        <v>1</v>
      </c>
      <c r="B4" t="s">
        <v>3</v>
      </c>
      <c r="C4">
        <v>54630</v>
      </c>
      <c r="D4">
        <v>14630</v>
      </c>
      <c r="E4">
        <v>10650</v>
      </c>
    </row>
    <row r="5" spans="1:5" x14ac:dyDescent="0.2">
      <c r="A5" t="s">
        <v>1</v>
      </c>
      <c r="B5" t="s">
        <v>4</v>
      </c>
      <c r="C5">
        <v>54630</v>
      </c>
      <c r="D5">
        <v>14630</v>
      </c>
      <c r="E5">
        <v>10650</v>
      </c>
    </row>
    <row r="6" spans="1:5" x14ac:dyDescent="0.2">
      <c r="A6" t="s">
        <v>1</v>
      </c>
      <c r="B6" t="s">
        <v>5</v>
      </c>
      <c r="C6">
        <v>54630</v>
      </c>
      <c r="D6">
        <v>14630</v>
      </c>
      <c r="E6">
        <v>10650</v>
      </c>
    </row>
    <row r="7" spans="1:5" x14ac:dyDescent="0.2">
      <c r="A7" t="s">
        <v>1</v>
      </c>
      <c r="B7" t="s">
        <v>6</v>
      </c>
      <c r="C7">
        <v>54630</v>
      </c>
      <c r="D7">
        <v>14630</v>
      </c>
      <c r="E7">
        <v>10650</v>
      </c>
    </row>
    <row r="8" spans="1:5" x14ac:dyDescent="0.2">
      <c r="A8" t="s">
        <v>1</v>
      </c>
      <c r="B8" t="s">
        <v>7</v>
      </c>
      <c r="C8">
        <v>54630</v>
      </c>
      <c r="D8">
        <v>14630</v>
      </c>
      <c r="E8">
        <v>10650</v>
      </c>
    </row>
    <row r="9" spans="1:5" x14ac:dyDescent="0.2">
      <c r="A9" t="s">
        <v>1</v>
      </c>
      <c r="B9" t="s">
        <v>8</v>
      </c>
      <c r="C9">
        <v>54630</v>
      </c>
      <c r="D9">
        <v>14630</v>
      </c>
      <c r="E9">
        <v>10650</v>
      </c>
    </row>
    <row r="10" spans="1:5" x14ac:dyDescent="0.2">
      <c r="A10" t="s">
        <v>1</v>
      </c>
      <c r="B10" t="s">
        <v>9</v>
      </c>
      <c r="C10">
        <v>54630</v>
      </c>
      <c r="D10">
        <v>14630</v>
      </c>
      <c r="E10">
        <v>10650</v>
      </c>
    </row>
    <row r="11" spans="1:5" x14ac:dyDescent="0.2">
      <c r="A11" t="s">
        <v>38</v>
      </c>
      <c r="B11" t="s">
        <v>11</v>
      </c>
      <c r="C11">
        <v>45310</v>
      </c>
      <c r="D11">
        <v>15310</v>
      </c>
      <c r="E11">
        <v>10650</v>
      </c>
    </row>
    <row r="12" spans="1:5" x14ac:dyDescent="0.2">
      <c r="A12" t="s">
        <v>10</v>
      </c>
      <c r="B12" t="s">
        <v>12</v>
      </c>
      <c r="C12">
        <v>49970</v>
      </c>
      <c r="D12">
        <v>9970</v>
      </c>
      <c r="E12">
        <v>10650</v>
      </c>
    </row>
    <row r="13" spans="1:5" x14ac:dyDescent="0.2">
      <c r="A13" t="s">
        <v>10</v>
      </c>
      <c r="B13" t="s">
        <v>13</v>
      </c>
      <c r="C13">
        <v>49970</v>
      </c>
      <c r="D13">
        <v>9970</v>
      </c>
      <c r="E13">
        <v>10650</v>
      </c>
    </row>
    <row r="14" spans="1:5" x14ac:dyDescent="0.2">
      <c r="A14" t="s">
        <v>10</v>
      </c>
      <c r="B14" t="s">
        <v>14</v>
      </c>
      <c r="C14">
        <v>49970</v>
      </c>
      <c r="D14">
        <v>9970</v>
      </c>
      <c r="E14">
        <v>10650</v>
      </c>
    </row>
    <row r="15" spans="1:5" x14ac:dyDescent="0.2">
      <c r="A15" t="s">
        <v>10</v>
      </c>
      <c r="B15" t="s">
        <v>15</v>
      </c>
      <c r="C15">
        <v>49970</v>
      </c>
      <c r="D15">
        <v>9970</v>
      </c>
      <c r="E15">
        <v>10650</v>
      </c>
    </row>
    <row r="16" spans="1:5" x14ac:dyDescent="0.2">
      <c r="A16" t="s">
        <v>10</v>
      </c>
      <c r="B16" t="s">
        <v>39</v>
      </c>
      <c r="C16">
        <v>45310</v>
      </c>
      <c r="D16">
        <v>15310</v>
      </c>
      <c r="E16">
        <v>10650</v>
      </c>
    </row>
    <row r="17" spans="1:5" x14ac:dyDescent="0.2">
      <c r="A17" t="s">
        <v>10</v>
      </c>
      <c r="B17" t="s">
        <v>16</v>
      </c>
      <c r="C17">
        <v>45310</v>
      </c>
      <c r="D17">
        <v>15310</v>
      </c>
      <c r="E17">
        <v>10650</v>
      </c>
    </row>
    <row r="18" spans="1:5" x14ac:dyDescent="0.2">
      <c r="A18" t="s">
        <v>10</v>
      </c>
      <c r="B18" t="s">
        <v>17</v>
      </c>
      <c r="C18">
        <v>45310</v>
      </c>
      <c r="D18">
        <v>15310</v>
      </c>
      <c r="E18">
        <v>10650</v>
      </c>
    </row>
    <row r="19" spans="1:5" x14ac:dyDescent="0.2">
      <c r="A19" t="s">
        <v>10</v>
      </c>
      <c r="B19" t="s">
        <v>18</v>
      </c>
      <c r="C19">
        <v>45310</v>
      </c>
      <c r="D19">
        <v>15310</v>
      </c>
      <c r="E19">
        <v>10650</v>
      </c>
    </row>
    <row r="20" spans="1:5" x14ac:dyDescent="0.2">
      <c r="A20" t="s">
        <v>10</v>
      </c>
      <c r="B20" t="s">
        <v>19</v>
      </c>
      <c r="C20">
        <v>45310</v>
      </c>
      <c r="D20">
        <v>15310</v>
      </c>
      <c r="E20">
        <v>10650</v>
      </c>
    </row>
    <row r="21" spans="1:5" x14ac:dyDescent="0.2">
      <c r="A21" t="s">
        <v>10</v>
      </c>
      <c r="B21" t="s">
        <v>20</v>
      </c>
      <c r="C21">
        <v>45310</v>
      </c>
      <c r="D21">
        <v>15310</v>
      </c>
      <c r="E21">
        <v>10650</v>
      </c>
    </row>
    <row r="22" spans="1:5" x14ac:dyDescent="0.2">
      <c r="A22" t="s">
        <v>10</v>
      </c>
      <c r="B22" t="s">
        <v>21</v>
      </c>
      <c r="C22">
        <v>49970</v>
      </c>
      <c r="D22">
        <v>9970</v>
      </c>
      <c r="E22">
        <v>10650</v>
      </c>
    </row>
    <row r="23" spans="1:5" x14ac:dyDescent="0.2">
      <c r="A23" t="s">
        <v>10</v>
      </c>
      <c r="B23" t="s">
        <v>22</v>
      </c>
      <c r="C23">
        <v>49970</v>
      </c>
      <c r="D23">
        <v>9970</v>
      </c>
      <c r="E23">
        <v>10650</v>
      </c>
    </row>
    <row r="24" spans="1:5" x14ac:dyDescent="0.2">
      <c r="A24" t="s">
        <v>10</v>
      </c>
      <c r="B24" t="s">
        <v>23</v>
      </c>
      <c r="C24">
        <v>45310</v>
      </c>
      <c r="D24">
        <v>5310</v>
      </c>
      <c r="E24">
        <v>10650</v>
      </c>
    </row>
    <row r="25" spans="1:5" x14ac:dyDescent="0.2">
      <c r="A25" t="s">
        <v>10</v>
      </c>
      <c r="B25" t="s">
        <v>24</v>
      </c>
      <c r="C25">
        <v>49970</v>
      </c>
      <c r="D25">
        <v>9970</v>
      </c>
      <c r="E25">
        <v>10650</v>
      </c>
    </row>
    <row r="26" spans="1:5" x14ac:dyDescent="0.2">
      <c r="A26" t="s">
        <v>10</v>
      </c>
      <c r="B26" t="s">
        <v>25</v>
      </c>
      <c r="C26">
        <v>45310</v>
      </c>
      <c r="D26">
        <v>5310</v>
      </c>
      <c r="E26">
        <v>10650</v>
      </c>
    </row>
    <row r="27" spans="1:5" x14ac:dyDescent="0.2">
      <c r="A27" t="s">
        <v>10</v>
      </c>
      <c r="B27" t="s">
        <v>26</v>
      </c>
      <c r="C27">
        <v>49970</v>
      </c>
      <c r="D27">
        <v>9970</v>
      </c>
      <c r="E27">
        <v>10650</v>
      </c>
    </row>
    <row r="28" spans="1:5" x14ac:dyDescent="0.2">
      <c r="A28" t="s">
        <v>10</v>
      </c>
      <c r="B28" t="s">
        <v>27</v>
      </c>
      <c r="C28">
        <v>49970</v>
      </c>
      <c r="D28">
        <v>9970</v>
      </c>
      <c r="E28">
        <v>10650</v>
      </c>
    </row>
    <row r="29" spans="1:5" x14ac:dyDescent="0.2">
      <c r="A29" t="s">
        <v>10</v>
      </c>
      <c r="B29" t="s">
        <v>28</v>
      </c>
      <c r="C29">
        <v>45310</v>
      </c>
      <c r="D29">
        <v>5310</v>
      </c>
      <c r="E29">
        <v>10650</v>
      </c>
    </row>
    <row r="30" spans="1:5" x14ac:dyDescent="0.2">
      <c r="A30" t="s">
        <v>10</v>
      </c>
      <c r="B30" t="s">
        <v>29</v>
      </c>
      <c r="C30">
        <v>45310</v>
      </c>
      <c r="D30">
        <v>5310</v>
      </c>
      <c r="E30">
        <v>10650</v>
      </c>
    </row>
    <row r="31" spans="1:5" x14ac:dyDescent="0.2">
      <c r="A31" t="s">
        <v>30</v>
      </c>
      <c r="B31" t="s">
        <v>31</v>
      </c>
      <c r="C31">
        <v>45310</v>
      </c>
      <c r="D31">
        <v>5310</v>
      </c>
      <c r="E31">
        <v>10650</v>
      </c>
    </row>
    <row r="32" spans="1:5" x14ac:dyDescent="0.2">
      <c r="A32" t="s">
        <v>30</v>
      </c>
      <c r="B32" t="s">
        <v>32</v>
      </c>
      <c r="C32">
        <v>45310</v>
      </c>
      <c r="D32">
        <v>5310</v>
      </c>
      <c r="E32">
        <v>10650</v>
      </c>
    </row>
    <row r="33" spans="1:12" x14ac:dyDescent="0.2">
      <c r="A33" t="s">
        <v>30</v>
      </c>
      <c r="B33" t="s">
        <v>33</v>
      </c>
      <c r="C33">
        <v>45310</v>
      </c>
      <c r="D33">
        <v>5310</v>
      </c>
      <c r="E33">
        <v>10650</v>
      </c>
    </row>
    <row r="34" spans="1:12" x14ac:dyDescent="0.2">
      <c r="A34" t="s">
        <v>30</v>
      </c>
      <c r="B34" t="s">
        <v>34</v>
      </c>
      <c r="C34">
        <v>45310</v>
      </c>
      <c r="D34">
        <v>5310</v>
      </c>
      <c r="E34">
        <v>10650</v>
      </c>
    </row>
    <row r="35" spans="1:12" x14ac:dyDescent="0.2">
      <c r="A35" t="s">
        <v>30</v>
      </c>
      <c r="B35" t="s">
        <v>35</v>
      </c>
      <c r="C35">
        <v>45310</v>
      </c>
      <c r="D35">
        <v>5310</v>
      </c>
      <c r="E35">
        <v>10650</v>
      </c>
    </row>
    <row r="38" spans="1:12" ht="19" x14ac:dyDescent="0.2">
      <c r="B38" s="62" t="s">
        <v>164</v>
      </c>
      <c r="C38" s="1"/>
      <c r="D38" s="1"/>
      <c r="E38" s="1"/>
      <c r="F38" s="1"/>
      <c r="G38" s="1"/>
      <c r="H38" s="1"/>
      <c r="I38" s="1"/>
    </row>
    <row r="39" spans="1:12" x14ac:dyDescent="0.2">
      <c r="B39" s="1"/>
      <c r="C39" s="1"/>
      <c r="D39" s="1"/>
      <c r="E39" s="1"/>
      <c r="F39" s="1"/>
      <c r="G39" s="1"/>
      <c r="H39" s="1"/>
      <c r="I39" s="1"/>
    </row>
    <row r="40" spans="1:12" x14ac:dyDescent="0.2">
      <c r="A40" s="25"/>
      <c r="B40" s="63"/>
      <c r="C40" s="64" t="s">
        <v>165</v>
      </c>
      <c r="D40" s="64" t="s">
        <v>166</v>
      </c>
      <c r="E40" s="64" t="s">
        <v>167</v>
      </c>
      <c r="F40" s="64" t="s">
        <v>168</v>
      </c>
      <c r="G40" s="65" t="s">
        <v>169</v>
      </c>
      <c r="H40" s="63"/>
      <c r="I40" s="63"/>
      <c r="J40" s="25"/>
      <c r="K40" s="25"/>
      <c r="L40" s="25"/>
    </row>
    <row r="41" spans="1:12" ht="68" x14ac:dyDescent="0.2">
      <c r="A41" s="25"/>
      <c r="B41" s="63"/>
      <c r="C41" s="66" t="s">
        <v>170</v>
      </c>
      <c r="D41" s="67">
        <v>30000</v>
      </c>
      <c r="E41" s="67">
        <v>50000</v>
      </c>
      <c r="F41" s="67">
        <v>40000</v>
      </c>
      <c r="G41" s="68" t="s">
        <v>171</v>
      </c>
      <c r="H41" s="63">
        <v>2500</v>
      </c>
      <c r="I41" s="63"/>
      <c r="J41" s="25"/>
      <c r="K41" s="25"/>
      <c r="L41" s="25"/>
    </row>
    <row r="42" spans="1:12" ht="51" x14ac:dyDescent="0.2">
      <c r="A42" s="25"/>
      <c r="B42" s="63"/>
      <c r="C42" s="66" t="s">
        <v>172</v>
      </c>
      <c r="D42" s="69">
        <v>700</v>
      </c>
      <c r="E42" s="67">
        <v>1800</v>
      </c>
      <c r="F42" s="67">
        <v>1250</v>
      </c>
      <c r="G42" s="68" t="s">
        <v>173</v>
      </c>
      <c r="H42" s="63">
        <v>1250</v>
      </c>
      <c r="I42" s="63"/>
      <c r="J42" s="25"/>
      <c r="K42" s="25"/>
      <c r="L42" s="25"/>
    </row>
    <row r="43" spans="1:12" ht="64" x14ac:dyDescent="0.2">
      <c r="A43" s="25"/>
      <c r="B43" s="63"/>
      <c r="C43" s="66" t="s">
        <v>174</v>
      </c>
      <c r="D43" s="69">
        <v>800</v>
      </c>
      <c r="E43" s="67">
        <v>2200</v>
      </c>
      <c r="F43" s="67">
        <v>1500</v>
      </c>
      <c r="G43" s="68" t="s">
        <v>175</v>
      </c>
      <c r="H43" s="63">
        <v>1500</v>
      </c>
      <c r="I43" s="63"/>
      <c r="J43" s="25"/>
      <c r="K43" s="25"/>
      <c r="L43" s="25"/>
    </row>
    <row r="44" spans="1:12" ht="34" x14ac:dyDescent="0.2">
      <c r="A44" s="25"/>
      <c r="B44" s="63"/>
      <c r="C44" s="66" t="s">
        <v>176</v>
      </c>
      <c r="D44" s="67">
        <v>1000</v>
      </c>
      <c r="E44" s="67">
        <v>2500</v>
      </c>
      <c r="F44" s="67">
        <v>1750</v>
      </c>
      <c r="G44" s="68" t="s">
        <v>177</v>
      </c>
      <c r="H44" s="63">
        <v>1750</v>
      </c>
      <c r="I44" s="63"/>
      <c r="J44" s="25"/>
      <c r="K44" s="25"/>
      <c r="L44" s="25"/>
    </row>
    <row r="45" spans="1:12" ht="34" x14ac:dyDescent="0.2">
      <c r="A45" s="25"/>
      <c r="B45" s="63"/>
      <c r="C45" s="66" t="s">
        <v>178</v>
      </c>
      <c r="D45" s="69">
        <v>600</v>
      </c>
      <c r="E45" s="67">
        <v>1200</v>
      </c>
      <c r="F45" s="69">
        <v>900</v>
      </c>
      <c r="G45" s="68" t="s">
        <v>179</v>
      </c>
      <c r="H45" s="63">
        <v>900</v>
      </c>
      <c r="I45" s="63"/>
      <c r="J45" s="25"/>
      <c r="K45" s="25"/>
      <c r="L45" s="25"/>
    </row>
    <row r="46" spans="1:12" ht="34" x14ac:dyDescent="0.2">
      <c r="A46" s="25"/>
      <c r="B46" s="63"/>
      <c r="C46" s="66" t="s">
        <v>180</v>
      </c>
      <c r="D46" s="69">
        <v>300</v>
      </c>
      <c r="E46" s="69">
        <v>900</v>
      </c>
      <c r="F46" s="69">
        <v>600</v>
      </c>
      <c r="G46" s="68" t="s">
        <v>181</v>
      </c>
      <c r="H46" s="63">
        <v>600</v>
      </c>
      <c r="I46" s="63"/>
      <c r="J46" s="25"/>
      <c r="K46" s="25"/>
      <c r="L46" s="25"/>
    </row>
    <row r="47" spans="1:12" ht="34" x14ac:dyDescent="0.2">
      <c r="A47" s="25"/>
      <c r="B47" s="63"/>
      <c r="C47" s="66" t="s">
        <v>182</v>
      </c>
      <c r="D47" s="69">
        <v>140</v>
      </c>
      <c r="E47" s="69">
        <v>400</v>
      </c>
      <c r="F47" s="69">
        <v>270</v>
      </c>
      <c r="G47" s="68" t="s">
        <v>183</v>
      </c>
      <c r="H47" s="63">
        <v>270</v>
      </c>
      <c r="I47" s="63"/>
      <c r="J47" s="25"/>
      <c r="K47" s="25"/>
      <c r="L47" s="25"/>
    </row>
    <row r="48" spans="1:12" ht="48" x14ac:dyDescent="0.2">
      <c r="A48" s="25"/>
      <c r="B48" s="63"/>
      <c r="C48" s="66" t="s">
        <v>184</v>
      </c>
      <c r="D48" s="69">
        <v>200</v>
      </c>
      <c r="E48" s="69">
        <v>500</v>
      </c>
      <c r="F48" s="69">
        <v>350</v>
      </c>
      <c r="G48" s="68" t="s">
        <v>185</v>
      </c>
      <c r="H48" s="63">
        <v>350</v>
      </c>
      <c r="I48" s="63"/>
      <c r="J48" s="25"/>
      <c r="K48" s="25"/>
      <c r="L48" s="25"/>
    </row>
    <row r="49" spans="1:12" ht="34" x14ac:dyDescent="0.2">
      <c r="A49" s="25"/>
      <c r="B49" s="63"/>
      <c r="C49" s="66" t="s">
        <v>186</v>
      </c>
      <c r="D49" s="69">
        <v>80</v>
      </c>
      <c r="E49" s="69">
        <v>150</v>
      </c>
      <c r="F49" s="69">
        <v>115</v>
      </c>
      <c r="G49" s="68" t="s">
        <v>187</v>
      </c>
      <c r="H49" s="63">
        <v>115</v>
      </c>
      <c r="I49" s="63"/>
      <c r="J49" s="25"/>
      <c r="K49" s="25"/>
      <c r="L49" s="25"/>
    </row>
    <row r="50" spans="1:12" ht="34" x14ac:dyDescent="0.2">
      <c r="A50" s="25"/>
      <c r="B50" s="63"/>
      <c r="C50" s="66" t="s">
        <v>188</v>
      </c>
      <c r="D50" s="69">
        <v>80</v>
      </c>
      <c r="E50" s="69">
        <v>120</v>
      </c>
      <c r="F50" s="69">
        <v>100</v>
      </c>
      <c r="G50" s="68" t="s">
        <v>189</v>
      </c>
      <c r="H50" s="63">
        <v>100</v>
      </c>
      <c r="I50" s="63"/>
      <c r="J50" s="25"/>
      <c r="K50" s="25"/>
      <c r="L50" s="25"/>
    </row>
    <row r="51" spans="1:12" ht="64" x14ac:dyDescent="0.2">
      <c r="A51" s="25"/>
      <c r="B51" s="63"/>
      <c r="C51" s="66" t="s">
        <v>190</v>
      </c>
      <c r="D51" s="69">
        <v>900</v>
      </c>
      <c r="E51" s="67">
        <v>1500</v>
      </c>
      <c r="F51" s="67">
        <v>1200</v>
      </c>
      <c r="G51" s="68" t="s">
        <v>191</v>
      </c>
      <c r="H51" s="63">
        <v>1200</v>
      </c>
      <c r="I51" s="63"/>
      <c r="J51" s="25"/>
      <c r="K51" s="25"/>
      <c r="L51" s="25"/>
    </row>
    <row r="52" spans="1:12" ht="48" x14ac:dyDescent="0.2">
      <c r="A52" s="25"/>
      <c r="B52" s="63"/>
      <c r="C52" s="66" t="s">
        <v>192</v>
      </c>
      <c r="D52" s="69">
        <v>50</v>
      </c>
      <c r="E52" s="69">
        <v>180</v>
      </c>
      <c r="F52" s="69">
        <v>115</v>
      </c>
      <c r="G52" s="68" t="s">
        <v>193</v>
      </c>
      <c r="H52" s="63">
        <v>115</v>
      </c>
      <c r="I52" s="63"/>
      <c r="J52" s="25"/>
      <c r="K52" s="25"/>
      <c r="L52" s="25"/>
    </row>
    <row r="53" spans="1:12" x14ac:dyDescent="0.2">
      <c r="B53" s="1"/>
      <c r="C53" s="1"/>
      <c r="D53" s="1"/>
      <c r="E53" s="1"/>
      <c r="F53" s="70"/>
      <c r="G53" s="1"/>
      <c r="H53" s="1">
        <f>SUM(H41:H52)</f>
        <v>10650</v>
      </c>
      <c r="I53" s="1"/>
    </row>
    <row r="54" spans="1:12" x14ac:dyDescent="0.2">
      <c r="B54" s="71"/>
      <c r="C54" s="1"/>
      <c r="D54" s="1"/>
      <c r="E54" s="1"/>
      <c r="F54" s="1"/>
      <c r="G54" s="1"/>
      <c r="H54" s="1"/>
      <c r="I54" s="1"/>
    </row>
    <row r="55" spans="1:12" x14ac:dyDescent="0.2">
      <c r="B55" s="71"/>
      <c r="C55" s="1"/>
      <c r="D55" s="1"/>
      <c r="E55" s="1"/>
      <c r="F55" s="1"/>
      <c r="G55" s="1"/>
      <c r="H55" s="1"/>
      <c r="I55" s="1"/>
    </row>
    <row r="56" spans="1:12" x14ac:dyDescent="0.2">
      <c r="B56" s="1"/>
      <c r="C56" s="1"/>
      <c r="D56" s="1"/>
      <c r="E56" s="1"/>
      <c r="F56" s="1"/>
      <c r="G56" s="1"/>
      <c r="H56" s="1"/>
      <c r="I56" s="1"/>
    </row>
    <row r="57" spans="1:12" x14ac:dyDescent="0.2">
      <c r="B57" s="1"/>
      <c r="C57" s="1"/>
      <c r="D57" s="1"/>
      <c r="E57" s="1"/>
      <c r="F57" s="1"/>
      <c r="G57" s="1"/>
      <c r="H57" s="1"/>
      <c r="I57" s="1"/>
    </row>
    <row r="58" spans="1:12" x14ac:dyDescent="0.2">
      <c r="B58" s="1"/>
      <c r="C58" s="1"/>
      <c r="D58" s="1"/>
      <c r="E58" s="1"/>
      <c r="F58" s="1"/>
      <c r="G58" s="1"/>
      <c r="H58" s="1"/>
      <c r="I58" s="1"/>
    </row>
    <row r="59" spans="1:12" ht="19" x14ac:dyDescent="0.2">
      <c r="B59" s="62" t="s">
        <v>194</v>
      </c>
      <c r="C59" s="1"/>
      <c r="D59" s="1"/>
      <c r="E59" s="1"/>
      <c r="F59" s="1"/>
      <c r="G59" s="1"/>
      <c r="H59" s="1"/>
      <c r="I59" s="1"/>
    </row>
    <row r="60" spans="1:12" x14ac:dyDescent="0.2">
      <c r="C60" s="1"/>
      <c r="D60" s="1"/>
      <c r="E60" s="1"/>
      <c r="F60" s="1"/>
      <c r="G60" s="1"/>
      <c r="H60" s="1"/>
      <c r="I60" s="1"/>
    </row>
    <row r="61" spans="1:12" x14ac:dyDescent="0.2">
      <c r="B61" t="s">
        <v>195</v>
      </c>
      <c r="C61" s="1"/>
      <c r="D61" s="1"/>
      <c r="E61" s="1"/>
      <c r="F61" s="1"/>
      <c r="G61" s="1"/>
      <c r="H61" s="1"/>
      <c r="I61" s="1"/>
    </row>
    <row r="62" spans="1:12" x14ac:dyDescent="0.2">
      <c r="B62" t="s">
        <v>196</v>
      </c>
      <c r="C62" s="1"/>
      <c r="D62" s="1"/>
      <c r="E62" s="1"/>
      <c r="F62" s="1"/>
      <c r="G62" s="1"/>
      <c r="H62" s="1"/>
      <c r="I62" s="1"/>
    </row>
    <row r="63" spans="1:12" x14ac:dyDescent="0.2">
      <c r="B63" t="s">
        <v>197</v>
      </c>
      <c r="C63" s="1"/>
      <c r="D63" s="1"/>
      <c r="E63" s="1"/>
      <c r="F63" s="1"/>
      <c r="G63" s="1"/>
      <c r="H63" s="1"/>
      <c r="I63" s="1"/>
    </row>
    <row r="64" spans="1:12" x14ac:dyDescent="0.2">
      <c r="B64" t="s">
        <v>198</v>
      </c>
      <c r="C64" s="1"/>
      <c r="D64" s="1"/>
      <c r="E64" s="1"/>
      <c r="F64" s="1"/>
      <c r="G64" s="1"/>
      <c r="H64" s="1"/>
      <c r="I64" s="1"/>
    </row>
    <row r="65" spans="2:9" x14ac:dyDescent="0.2">
      <c r="B65" t="s">
        <v>199</v>
      </c>
      <c r="C65" s="1"/>
      <c r="D65" s="1"/>
      <c r="E65" s="1"/>
      <c r="F65" s="1"/>
      <c r="G65" s="1"/>
      <c r="H65" s="1"/>
      <c r="I65" s="1"/>
    </row>
    <row r="66" spans="2:9" x14ac:dyDescent="0.2">
      <c r="B66" t="s">
        <v>200</v>
      </c>
      <c r="C66" s="1"/>
      <c r="D66" s="1"/>
      <c r="E66" s="1"/>
      <c r="F66" s="1"/>
      <c r="G66" s="1"/>
      <c r="H66" s="1"/>
      <c r="I66" s="1"/>
    </row>
    <row r="67" spans="2:9" x14ac:dyDescent="0.2">
      <c r="B67" s="1"/>
      <c r="C67" s="1"/>
      <c r="D67" s="1"/>
      <c r="E67" s="1"/>
      <c r="F67" s="1"/>
      <c r="G67" s="1"/>
      <c r="H67" s="1"/>
      <c r="I6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B5641-7C41-AB46-A5FF-FD05C8C44ABC}">
  <dimension ref="A1:U29"/>
  <sheetViews>
    <sheetView workbookViewId="0">
      <selection activeCell="L10" sqref="L10"/>
    </sheetView>
  </sheetViews>
  <sheetFormatPr baseColWidth="10" defaultRowHeight="16" x14ac:dyDescent="0.2"/>
  <cols>
    <col min="1" max="1" width="19.33203125" customWidth="1"/>
    <col min="2" max="2" width="50" customWidth="1"/>
    <col min="3" max="3" width="8.1640625" customWidth="1"/>
    <col min="4" max="4" width="24.1640625" bestFit="1" customWidth="1"/>
    <col min="5" max="5" width="24.1640625"/>
    <col min="6" max="6" width="26" customWidth="1"/>
    <col min="7" max="7" width="0" hidden="1" customWidth="1"/>
    <col min="8" max="8" width="17" customWidth="1"/>
    <col min="9" max="9" width="0" hidden="1" customWidth="1"/>
    <col min="10" max="10" width="12.5" customWidth="1"/>
    <col min="11" max="11" width="42.83203125" customWidth="1"/>
    <col min="12" max="12" width="40.6640625" customWidth="1"/>
    <col min="13" max="13" width="10.83203125" hidden="1" customWidth="1"/>
    <col min="14" max="14" width="4.33203125" hidden="1" customWidth="1"/>
    <col min="15" max="15" width="10.83203125" hidden="1" customWidth="1"/>
    <col min="16" max="16" width="22" customWidth="1"/>
    <col min="17" max="17" width="20.5" customWidth="1"/>
    <col min="18" max="18" width="23" customWidth="1"/>
    <col min="19" max="19" width="20.6640625" customWidth="1"/>
    <col min="20" max="20" width="23" customWidth="1"/>
    <col min="21" max="21" width="41.5" style="24" customWidth="1"/>
  </cols>
  <sheetData>
    <row r="1" spans="1:21" x14ac:dyDescent="0.2">
      <c r="A1" s="1"/>
      <c r="B1" s="1"/>
      <c r="C1" s="1"/>
      <c r="D1" s="105" t="s">
        <v>204</v>
      </c>
      <c r="E1" s="106"/>
      <c r="F1" s="106"/>
      <c r="G1" s="106"/>
      <c r="H1" s="106"/>
      <c r="I1" s="107"/>
      <c r="J1" s="72"/>
      <c r="K1" s="1"/>
      <c r="L1" s="1"/>
    </row>
    <row r="2" spans="1:21" ht="48" x14ac:dyDescent="0.2">
      <c r="A2" s="73" t="s">
        <v>205</v>
      </c>
      <c r="B2" s="2"/>
      <c r="C2" s="1"/>
      <c r="D2" s="74" t="s">
        <v>206</v>
      </c>
      <c r="E2" s="74" t="s">
        <v>207</v>
      </c>
      <c r="F2" s="74" t="s">
        <v>208</v>
      </c>
      <c r="G2" s="74" t="s">
        <v>209</v>
      </c>
      <c r="H2" s="74" t="s">
        <v>210</v>
      </c>
      <c r="I2" s="74" t="s">
        <v>211</v>
      </c>
      <c r="J2" s="76" t="s">
        <v>212</v>
      </c>
      <c r="K2" s="76" t="s">
        <v>213</v>
      </c>
      <c r="L2" s="1"/>
    </row>
    <row r="3" spans="1:21" ht="51" x14ac:dyDescent="0.2">
      <c r="A3" s="61" t="s">
        <v>214</v>
      </c>
      <c r="B3" s="61" t="s">
        <v>215</v>
      </c>
      <c r="C3" s="1"/>
      <c r="D3" s="42" t="s">
        <v>216</v>
      </c>
      <c r="E3" s="42" t="s">
        <v>217</v>
      </c>
      <c r="F3" s="42" t="s">
        <v>218</v>
      </c>
      <c r="G3" s="89" t="s">
        <v>219</v>
      </c>
      <c r="H3" s="44">
        <v>150000</v>
      </c>
      <c r="I3" s="42" t="s">
        <v>220</v>
      </c>
      <c r="J3" s="90">
        <v>5750</v>
      </c>
      <c r="K3" s="68" t="s">
        <v>275</v>
      </c>
      <c r="L3" s="1"/>
      <c r="P3" s="22"/>
      <c r="Q3" s="22"/>
      <c r="R3" s="22"/>
      <c r="S3" s="22"/>
      <c r="T3" s="22"/>
      <c r="U3" s="88"/>
    </row>
    <row r="4" spans="1:21" ht="34" x14ac:dyDescent="0.2">
      <c r="A4" s="77" t="s">
        <v>221</v>
      </c>
      <c r="B4" s="78" t="s">
        <v>222</v>
      </c>
      <c r="C4" s="1"/>
      <c r="D4" s="42" t="s">
        <v>223</v>
      </c>
      <c r="E4" s="42" t="s">
        <v>224</v>
      </c>
      <c r="F4" s="42" t="s">
        <v>225</v>
      </c>
      <c r="G4" s="42" t="s">
        <v>226</v>
      </c>
      <c r="H4" s="44">
        <v>375000</v>
      </c>
      <c r="I4" s="42" t="s">
        <v>227</v>
      </c>
      <c r="J4" s="90">
        <v>17000</v>
      </c>
      <c r="K4" s="68" t="s">
        <v>276</v>
      </c>
      <c r="L4" s="1"/>
      <c r="S4" s="86"/>
      <c r="T4" s="86"/>
      <c r="U4" s="87"/>
    </row>
    <row r="5" spans="1:21" ht="34" x14ac:dyDescent="0.2">
      <c r="A5" s="77" t="s">
        <v>228</v>
      </c>
      <c r="B5" s="78" t="s">
        <v>229</v>
      </c>
      <c r="C5" s="1"/>
      <c r="D5" s="42" t="s">
        <v>230</v>
      </c>
      <c r="E5" s="42" t="s">
        <v>231</v>
      </c>
      <c r="F5" s="42" t="s">
        <v>232</v>
      </c>
      <c r="G5" s="42" t="s">
        <v>233</v>
      </c>
      <c r="H5" s="44">
        <v>850000</v>
      </c>
      <c r="I5" s="42" t="s">
        <v>234</v>
      </c>
      <c r="J5" s="90">
        <v>24500</v>
      </c>
      <c r="K5" s="68" t="s">
        <v>277</v>
      </c>
      <c r="L5" s="1"/>
      <c r="S5" s="86"/>
      <c r="T5" s="86"/>
      <c r="U5" s="87"/>
    </row>
    <row r="6" spans="1:21" ht="34" x14ac:dyDescent="0.2">
      <c r="A6" s="77" t="s">
        <v>235</v>
      </c>
      <c r="B6" s="78" t="s">
        <v>236</v>
      </c>
      <c r="C6" s="1"/>
      <c r="D6" s="42" t="s">
        <v>237</v>
      </c>
      <c r="E6" s="42" t="s">
        <v>238</v>
      </c>
      <c r="F6" s="42" t="s">
        <v>239</v>
      </c>
      <c r="G6" s="42" t="s">
        <v>240</v>
      </c>
      <c r="H6" s="44">
        <v>1600000</v>
      </c>
      <c r="I6" s="42" t="s">
        <v>241</v>
      </c>
      <c r="J6" s="90">
        <v>75000</v>
      </c>
      <c r="K6" s="68" t="s">
        <v>278</v>
      </c>
      <c r="L6" s="1"/>
      <c r="S6" s="86"/>
      <c r="T6" s="86"/>
      <c r="U6" s="87"/>
    </row>
    <row r="7" spans="1:21" ht="51" x14ac:dyDescent="0.2">
      <c r="A7" s="77" t="s">
        <v>242</v>
      </c>
      <c r="B7" s="78" t="s">
        <v>243</v>
      </c>
      <c r="C7" s="1"/>
      <c r="D7" s="42" t="s">
        <v>244</v>
      </c>
      <c r="E7" s="42" t="s">
        <v>245</v>
      </c>
      <c r="F7" s="42" t="s">
        <v>246</v>
      </c>
      <c r="G7" s="42" t="s">
        <v>247</v>
      </c>
      <c r="H7" s="44">
        <v>3200000</v>
      </c>
      <c r="I7" s="42" t="s">
        <v>248</v>
      </c>
      <c r="J7" s="90">
        <v>190000</v>
      </c>
      <c r="K7" s="68" t="s">
        <v>279</v>
      </c>
      <c r="L7" s="1"/>
      <c r="S7" s="86"/>
      <c r="T7" s="86"/>
      <c r="U7" s="87"/>
    </row>
    <row r="8" spans="1:21" ht="31" customHeight="1" x14ac:dyDescent="0.2">
      <c r="A8" s="79"/>
      <c r="B8" s="80"/>
      <c r="C8" s="1"/>
      <c r="D8" s="108" t="s">
        <v>249</v>
      </c>
      <c r="E8" s="108"/>
      <c r="F8" s="108"/>
      <c r="G8" s="108"/>
      <c r="H8" s="81"/>
      <c r="I8" s="24"/>
      <c r="J8" s="24"/>
      <c r="K8" s="24"/>
      <c r="L8" s="1"/>
      <c r="S8" s="86"/>
      <c r="T8" s="86"/>
      <c r="U8" s="87"/>
    </row>
    <row r="9" spans="1:21" x14ac:dyDescent="0.2">
      <c r="A9" s="1"/>
      <c r="B9" s="1"/>
      <c r="C9" s="1"/>
      <c r="D9" s="1"/>
      <c r="E9" s="1"/>
      <c r="F9" s="1"/>
      <c r="G9" s="1"/>
      <c r="H9" s="1"/>
      <c r="I9" s="1"/>
      <c r="J9" s="1"/>
      <c r="K9" s="1"/>
      <c r="L9" s="1"/>
    </row>
    <row r="10" spans="1:21" x14ac:dyDescent="0.2">
      <c r="A10" s="1"/>
      <c r="B10" s="1"/>
      <c r="C10" s="1"/>
      <c r="D10" s="109" t="s">
        <v>41</v>
      </c>
      <c r="E10" s="110"/>
      <c r="F10" s="110"/>
      <c r="G10" s="110"/>
      <c r="H10" s="110"/>
      <c r="I10" s="111"/>
      <c r="J10" s="84"/>
      <c r="K10" s="85"/>
      <c r="L10" s="1"/>
    </row>
    <row r="11" spans="1:21" ht="48" x14ac:dyDescent="0.2">
      <c r="A11" s="1"/>
      <c r="B11" s="1"/>
      <c r="C11" s="1"/>
      <c r="D11" s="74" t="s">
        <v>206</v>
      </c>
      <c r="E11" s="74" t="s">
        <v>250</v>
      </c>
      <c r="F11" s="74" t="s">
        <v>251</v>
      </c>
      <c r="G11" s="75" t="s">
        <v>209</v>
      </c>
      <c r="H11" s="75" t="s">
        <v>210</v>
      </c>
      <c r="I11" s="75" t="s">
        <v>211</v>
      </c>
      <c r="J11" s="74" t="s">
        <v>212</v>
      </c>
      <c r="K11" s="76" t="s">
        <v>213</v>
      </c>
      <c r="L11" s="1"/>
    </row>
    <row r="12" spans="1:21" ht="51" x14ac:dyDescent="0.2">
      <c r="A12" s="1"/>
      <c r="B12" s="1"/>
      <c r="C12" s="1"/>
      <c r="D12" s="69" t="s">
        <v>252</v>
      </c>
      <c r="E12" s="69" t="s">
        <v>253</v>
      </c>
      <c r="F12" s="69">
        <v>3</v>
      </c>
      <c r="G12" s="68" t="s">
        <v>254</v>
      </c>
      <c r="H12" s="69" t="s">
        <v>73</v>
      </c>
      <c r="I12" s="69" t="s">
        <v>255</v>
      </c>
      <c r="J12" s="91">
        <v>9000</v>
      </c>
      <c r="K12" s="82" t="s">
        <v>280</v>
      </c>
    </row>
    <row r="13" spans="1:21" ht="51" x14ac:dyDescent="0.2">
      <c r="A13" s="1"/>
      <c r="B13" s="1"/>
      <c r="C13" s="1"/>
      <c r="D13" s="42" t="s">
        <v>223</v>
      </c>
      <c r="E13" s="42" t="s">
        <v>256</v>
      </c>
      <c r="F13" s="42">
        <v>4</v>
      </c>
      <c r="G13" s="78" t="s">
        <v>257</v>
      </c>
      <c r="H13" s="42" t="s">
        <v>74</v>
      </c>
      <c r="I13" s="42" t="s">
        <v>258</v>
      </c>
      <c r="J13" s="91">
        <v>27000</v>
      </c>
      <c r="K13" s="82" t="s">
        <v>281</v>
      </c>
      <c r="L13" s="1"/>
    </row>
    <row r="14" spans="1:21" ht="51" x14ac:dyDescent="0.2">
      <c r="A14" s="1"/>
      <c r="B14" s="1"/>
      <c r="C14" s="1"/>
      <c r="D14" s="42" t="s">
        <v>230</v>
      </c>
      <c r="E14" s="42" t="s">
        <v>259</v>
      </c>
      <c r="F14" s="42">
        <v>6</v>
      </c>
      <c r="G14" s="78" t="s">
        <v>260</v>
      </c>
      <c r="H14" s="42" t="s">
        <v>75</v>
      </c>
      <c r="I14" s="42" t="s">
        <v>261</v>
      </c>
      <c r="J14" s="91">
        <v>45000</v>
      </c>
      <c r="K14" s="82" t="s">
        <v>282</v>
      </c>
      <c r="L14" s="1"/>
    </row>
    <row r="15" spans="1:21" ht="51" x14ac:dyDescent="0.2">
      <c r="A15" s="1"/>
      <c r="B15" s="1"/>
      <c r="C15" s="1"/>
      <c r="D15" s="42" t="s">
        <v>237</v>
      </c>
      <c r="E15" s="42" t="s">
        <v>262</v>
      </c>
      <c r="F15" s="42" t="s">
        <v>263</v>
      </c>
      <c r="G15" s="78" t="s">
        <v>264</v>
      </c>
      <c r="H15" s="42" t="s">
        <v>76</v>
      </c>
      <c r="I15" s="42" t="s">
        <v>265</v>
      </c>
      <c r="J15" s="91">
        <v>102000</v>
      </c>
      <c r="K15" s="82" t="s">
        <v>283</v>
      </c>
      <c r="L15" s="1"/>
    </row>
    <row r="16" spans="1:21" ht="68" x14ac:dyDescent="0.2">
      <c r="A16" s="1"/>
      <c r="B16" s="1"/>
      <c r="C16" s="1"/>
      <c r="D16" s="42" t="s">
        <v>244</v>
      </c>
      <c r="E16" s="42" t="s">
        <v>266</v>
      </c>
      <c r="F16" s="42" t="s">
        <v>267</v>
      </c>
      <c r="G16" s="78" t="s">
        <v>268</v>
      </c>
      <c r="H16" s="42" t="s">
        <v>77</v>
      </c>
      <c r="I16" s="42" t="s">
        <v>269</v>
      </c>
      <c r="J16" s="91">
        <v>260000</v>
      </c>
      <c r="K16" s="82" t="s">
        <v>284</v>
      </c>
      <c r="L16" s="1"/>
    </row>
    <row r="17" spans="1:12" x14ac:dyDescent="0.2">
      <c r="A17" s="1"/>
      <c r="B17" s="1"/>
      <c r="C17" s="1"/>
      <c r="D17" s="1"/>
      <c r="E17" s="1"/>
      <c r="F17" s="1"/>
      <c r="G17" s="1"/>
      <c r="H17" s="1"/>
      <c r="I17" s="1"/>
      <c r="J17" s="1"/>
      <c r="K17" s="1"/>
      <c r="L17" s="1"/>
    </row>
    <row r="18" spans="1:12" x14ac:dyDescent="0.2">
      <c r="A18" s="1"/>
      <c r="B18" s="1"/>
      <c r="C18" s="1"/>
      <c r="D18" s="1"/>
      <c r="E18" s="1"/>
      <c r="F18" s="1"/>
      <c r="G18" s="1"/>
      <c r="H18" s="1"/>
      <c r="I18" s="1"/>
      <c r="J18" s="1"/>
      <c r="K18" s="1"/>
      <c r="L18" s="1"/>
    </row>
    <row r="19" spans="1:12" x14ac:dyDescent="0.2">
      <c r="A19" s="1"/>
      <c r="B19" s="1"/>
      <c r="C19" s="1"/>
      <c r="D19" s="1"/>
      <c r="E19" s="1"/>
      <c r="F19" s="1"/>
      <c r="G19" s="1"/>
      <c r="H19" s="1"/>
      <c r="I19" s="1"/>
      <c r="J19" s="1"/>
      <c r="K19" s="1"/>
      <c r="L19" s="1"/>
    </row>
    <row r="20" spans="1:12" x14ac:dyDescent="0.2">
      <c r="A20" s="1"/>
      <c r="B20" s="1"/>
      <c r="C20" s="1"/>
      <c r="D20" s="109" t="s">
        <v>43</v>
      </c>
      <c r="E20" s="110"/>
      <c r="F20" s="110"/>
      <c r="G20" s="110"/>
      <c r="H20" s="110"/>
      <c r="I20" s="111"/>
      <c r="J20" s="84"/>
      <c r="K20" s="85"/>
      <c r="L20" s="1"/>
    </row>
    <row r="21" spans="1:12" ht="48" x14ac:dyDescent="0.2">
      <c r="A21" s="1"/>
      <c r="B21" s="1"/>
      <c r="C21" s="1"/>
      <c r="D21" s="74" t="s">
        <v>206</v>
      </c>
      <c r="E21" s="74" t="s">
        <v>250</v>
      </c>
      <c r="F21" s="74" t="s">
        <v>251</v>
      </c>
      <c r="G21" s="75" t="s">
        <v>209</v>
      </c>
      <c r="H21" s="75" t="s">
        <v>210</v>
      </c>
      <c r="I21" s="75" t="s">
        <v>211</v>
      </c>
      <c r="J21" s="74" t="s">
        <v>212</v>
      </c>
      <c r="K21" s="76" t="s">
        <v>213</v>
      </c>
      <c r="L21" s="1"/>
    </row>
    <row r="22" spans="1:12" ht="51" x14ac:dyDescent="0.2">
      <c r="A22" s="1"/>
      <c r="B22" s="1"/>
      <c r="C22" s="1"/>
      <c r="D22" s="42" t="s">
        <v>252</v>
      </c>
      <c r="E22" s="42" t="s">
        <v>270</v>
      </c>
      <c r="F22" s="42">
        <v>4</v>
      </c>
      <c r="G22" t="s">
        <v>271</v>
      </c>
      <c r="H22" s="42">
        <v>100000</v>
      </c>
      <c r="I22" s="42" t="s">
        <v>255</v>
      </c>
      <c r="J22" s="92">
        <v>20000</v>
      </c>
      <c r="K22" s="93" t="s">
        <v>285</v>
      </c>
      <c r="L22" s="1"/>
    </row>
    <row r="23" spans="1:12" ht="51" x14ac:dyDescent="0.2">
      <c r="A23" s="1"/>
      <c r="B23" s="1"/>
      <c r="C23" s="1"/>
      <c r="D23" s="42" t="s">
        <v>223</v>
      </c>
      <c r="E23" s="42" t="s">
        <v>256</v>
      </c>
      <c r="F23" s="42">
        <v>5</v>
      </c>
      <c r="G23" s="78" t="s">
        <v>257</v>
      </c>
      <c r="H23" s="42">
        <v>150000</v>
      </c>
      <c r="I23" s="42" t="s">
        <v>258</v>
      </c>
      <c r="J23" s="92">
        <v>40500</v>
      </c>
      <c r="K23" s="93" t="s">
        <v>286</v>
      </c>
      <c r="L23" s="1"/>
    </row>
    <row r="24" spans="1:12" ht="51" x14ac:dyDescent="0.2">
      <c r="A24" s="1"/>
      <c r="B24" s="1"/>
      <c r="C24" s="1"/>
      <c r="D24" s="42" t="s">
        <v>230</v>
      </c>
      <c r="E24" s="42" t="s">
        <v>259</v>
      </c>
      <c r="F24" s="42">
        <v>6</v>
      </c>
      <c r="G24" s="78" t="s">
        <v>260</v>
      </c>
      <c r="H24" s="42">
        <v>300000</v>
      </c>
      <c r="I24" s="42" t="s">
        <v>261</v>
      </c>
      <c r="J24" s="92">
        <v>72000</v>
      </c>
      <c r="K24" s="93" t="s">
        <v>287</v>
      </c>
      <c r="L24" s="1"/>
    </row>
    <row r="25" spans="1:12" ht="51" x14ac:dyDescent="0.2">
      <c r="A25" s="1"/>
      <c r="B25" s="1"/>
      <c r="C25" s="1"/>
      <c r="D25" s="42" t="s">
        <v>237</v>
      </c>
      <c r="E25" s="42" t="s">
        <v>262</v>
      </c>
      <c r="F25" s="42" t="s">
        <v>263</v>
      </c>
      <c r="G25" s="78" t="s">
        <v>264</v>
      </c>
      <c r="H25" s="42">
        <v>600000</v>
      </c>
      <c r="I25" s="42" t="s">
        <v>265</v>
      </c>
      <c r="J25" s="92">
        <v>150000</v>
      </c>
      <c r="K25" s="93" t="s">
        <v>288</v>
      </c>
      <c r="L25" s="1"/>
    </row>
    <row r="26" spans="1:12" ht="68" x14ac:dyDescent="0.2">
      <c r="A26" s="1"/>
      <c r="B26" s="1"/>
      <c r="C26" s="1"/>
      <c r="D26" s="42" t="s">
        <v>244</v>
      </c>
      <c r="E26" s="42" t="s">
        <v>266</v>
      </c>
      <c r="F26" s="42" t="s">
        <v>267</v>
      </c>
      <c r="G26" s="78" t="s">
        <v>268</v>
      </c>
      <c r="H26" s="42">
        <v>1100000</v>
      </c>
      <c r="I26" s="42" t="s">
        <v>269</v>
      </c>
      <c r="J26" s="92">
        <v>315000</v>
      </c>
      <c r="K26" s="93" t="s">
        <v>289</v>
      </c>
      <c r="L26" s="1"/>
    </row>
    <row r="27" spans="1:12" x14ac:dyDescent="0.2">
      <c r="A27" s="1"/>
      <c r="B27" s="1"/>
      <c r="C27" s="1"/>
      <c r="D27" s="1"/>
      <c r="E27" s="1"/>
      <c r="F27" s="1"/>
      <c r="G27" s="1"/>
      <c r="H27" s="1"/>
      <c r="I27" s="1"/>
      <c r="J27" s="1"/>
      <c r="K27" s="1"/>
      <c r="L27" s="1"/>
    </row>
    <row r="28" spans="1:12" x14ac:dyDescent="0.2">
      <c r="A28" s="1"/>
      <c r="B28" s="1"/>
      <c r="C28" s="1"/>
      <c r="D28" s="1"/>
      <c r="E28" s="1"/>
      <c r="F28" s="1"/>
      <c r="G28" s="1"/>
      <c r="H28" s="1"/>
      <c r="I28" s="1"/>
      <c r="J28" s="1"/>
      <c r="K28" s="1"/>
      <c r="L28" s="1"/>
    </row>
    <row r="29" spans="1:12" x14ac:dyDescent="0.2">
      <c r="A29" s="1"/>
      <c r="B29" s="1"/>
      <c r="C29" s="1"/>
      <c r="D29" s="83"/>
      <c r="E29" s="83"/>
      <c r="F29" s="83"/>
      <c r="G29" s="83"/>
      <c r="H29" s="83"/>
      <c r="I29" s="83"/>
      <c r="J29" s="83"/>
      <c r="K29" s="83"/>
      <c r="L29" s="1"/>
    </row>
  </sheetData>
  <mergeCells count="4">
    <mergeCell ref="D1:I1"/>
    <mergeCell ref="D8:G8"/>
    <mergeCell ref="D10:I10"/>
    <mergeCell ref="D20:I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7A66-E9DB-8740-BB4B-73CC7EF3933D}">
  <dimension ref="A1:E35"/>
  <sheetViews>
    <sheetView zoomScale="130" zoomScaleNormal="130" workbookViewId="0">
      <selection activeCell="E3" sqref="E3"/>
    </sheetView>
  </sheetViews>
  <sheetFormatPr baseColWidth="10" defaultRowHeight="16" x14ac:dyDescent="0.2"/>
  <cols>
    <col min="2" max="2" width="20.1640625" customWidth="1"/>
    <col min="3" max="3" width="16" customWidth="1"/>
  </cols>
  <sheetData>
    <row r="1" spans="1:5" x14ac:dyDescent="0.2">
      <c r="A1" s="5" t="s">
        <v>36</v>
      </c>
      <c r="B1" s="6" t="s">
        <v>0</v>
      </c>
      <c r="C1" t="s">
        <v>56</v>
      </c>
    </row>
    <row r="2" spans="1:5" x14ac:dyDescent="0.2">
      <c r="A2" s="3" t="s">
        <v>1</v>
      </c>
      <c r="B2" s="2" t="s">
        <v>2</v>
      </c>
      <c r="C2" s="4">
        <v>26000</v>
      </c>
    </row>
    <row r="3" spans="1:5" x14ac:dyDescent="0.2">
      <c r="A3" s="3" t="s">
        <v>1</v>
      </c>
      <c r="B3" s="2" t="s">
        <v>37</v>
      </c>
      <c r="C3" s="4">
        <v>20800</v>
      </c>
      <c r="E3" s="122" t="s">
        <v>290</v>
      </c>
    </row>
    <row r="4" spans="1:5" x14ac:dyDescent="0.2">
      <c r="A4" s="3" t="s">
        <v>1</v>
      </c>
      <c r="B4" s="2" t="s">
        <v>3</v>
      </c>
      <c r="C4" s="4">
        <v>14950</v>
      </c>
    </row>
    <row r="5" spans="1:5" x14ac:dyDescent="0.2">
      <c r="A5" s="3" t="s">
        <v>1</v>
      </c>
      <c r="B5" s="2" t="s">
        <v>4</v>
      </c>
      <c r="C5" s="4">
        <v>22750</v>
      </c>
    </row>
    <row r="6" spans="1:5" x14ac:dyDescent="0.2">
      <c r="A6" s="3" t="s">
        <v>1</v>
      </c>
      <c r="B6" s="2" t="s">
        <v>5</v>
      </c>
      <c r="C6" s="4">
        <v>19500</v>
      </c>
    </row>
    <row r="7" spans="1:5" x14ac:dyDescent="0.2">
      <c r="A7" s="3" t="s">
        <v>1</v>
      </c>
      <c r="B7" s="2" t="s">
        <v>6</v>
      </c>
      <c r="C7" s="4">
        <v>17550</v>
      </c>
    </row>
    <row r="8" spans="1:5" x14ac:dyDescent="0.2">
      <c r="A8" s="3" t="s">
        <v>1</v>
      </c>
      <c r="B8" s="2" t="s">
        <v>7</v>
      </c>
      <c r="C8" s="4">
        <v>16250</v>
      </c>
    </row>
    <row r="9" spans="1:5" x14ac:dyDescent="0.2">
      <c r="A9" s="3" t="s">
        <v>1</v>
      </c>
      <c r="B9" s="2" t="s">
        <v>8</v>
      </c>
      <c r="C9" s="4">
        <v>11050</v>
      </c>
    </row>
    <row r="10" spans="1:5" x14ac:dyDescent="0.2">
      <c r="A10" s="3" t="s">
        <v>1</v>
      </c>
      <c r="B10" s="2" t="s">
        <v>9</v>
      </c>
      <c r="C10" s="4">
        <v>18200</v>
      </c>
    </row>
    <row r="11" spans="1:5" x14ac:dyDescent="0.2">
      <c r="A11" s="3" t="s">
        <v>38</v>
      </c>
      <c r="B11" s="2" t="s">
        <v>11</v>
      </c>
      <c r="C11" s="4">
        <v>10400</v>
      </c>
    </row>
    <row r="12" spans="1:5" x14ac:dyDescent="0.2">
      <c r="A12" s="3" t="s">
        <v>10</v>
      </c>
      <c r="B12" s="2" t="s">
        <v>12</v>
      </c>
      <c r="C12" s="4">
        <v>9100</v>
      </c>
    </row>
    <row r="13" spans="1:5" x14ac:dyDescent="0.2">
      <c r="A13" s="3" t="s">
        <v>10</v>
      </c>
      <c r="B13" s="2" t="s">
        <v>13</v>
      </c>
      <c r="C13" s="4">
        <v>9750</v>
      </c>
    </row>
    <row r="14" spans="1:5" x14ac:dyDescent="0.2">
      <c r="A14" s="3" t="s">
        <v>10</v>
      </c>
      <c r="B14" s="2" t="s">
        <v>14</v>
      </c>
      <c r="C14" s="4">
        <v>11700</v>
      </c>
    </row>
    <row r="15" spans="1:5" x14ac:dyDescent="0.2">
      <c r="A15" s="3" t="s">
        <v>10</v>
      </c>
      <c r="B15" s="2" t="s">
        <v>15</v>
      </c>
      <c r="C15" s="4">
        <v>9750</v>
      </c>
    </row>
    <row r="16" spans="1:5" x14ac:dyDescent="0.2">
      <c r="A16" s="3" t="s">
        <v>10</v>
      </c>
      <c r="B16" s="2" t="s">
        <v>39</v>
      </c>
      <c r="C16" s="4">
        <v>13000</v>
      </c>
    </row>
    <row r="17" spans="1:3" x14ac:dyDescent="0.2">
      <c r="A17" s="3" t="s">
        <v>10</v>
      </c>
      <c r="B17" s="2" t="s">
        <v>16</v>
      </c>
      <c r="C17" s="4">
        <v>13000</v>
      </c>
    </row>
    <row r="18" spans="1:3" ht="34" customHeight="1" x14ac:dyDescent="0.2">
      <c r="A18" s="3" t="s">
        <v>10</v>
      </c>
      <c r="B18" s="2" t="s">
        <v>17</v>
      </c>
      <c r="C18" s="4">
        <v>13000</v>
      </c>
    </row>
    <row r="19" spans="1:3" x14ac:dyDescent="0.2">
      <c r="A19" s="3" t="s">
        <v>10</v>
      </c>
      <c r="B19" s="2" t="s">
        <v>18</v>
      </c>
      <c r="C19" s="4">
        <v>13000</v>
      </c>
    </row>
    <row r="20" spans="1:3" x14ac:dyDescent="0.2">
      <c r="A20" s="3" t="s">
        <v>10</v>
      </c>
      <c r="B20" s="2" t="s">
        <v>19</v>
      </c>
      <c r="C20" s="4">
        <v>13000</v>
      </c>
    </row>
    <row r="21" spans="1:3" x14ac:dyDescent="0.2">
      <c r="A21" s="3" t="s">
        <v>10</v>
      </c>
      <c r="B21" s="2" t="s">
        <v>20</v>
      </c>
      <c r="C21" s="4">
        <v>13000</v>
      </c>
    </row>
    <row r="22" spans="1:3" x14ac:dyDescent="0.2">
      <c r="A22" s="3" t="s">
        <v>10</v>
      </c>
      <c r="B22" s="2" t="s">
        <v>21</v>
      </c>
      <c r="C22" s="4">
        <v>8450</v>
      </c>
    </row>
    <row r="23" spans="1:3" ht="34" customHeight="1" x14ac:dyDescent="0.2">
      <c r="A23" s="3" t="s">
        <v>10</v>
      </c>
      <c r="B23" s="2" t="s">
        <v>22</v>
      </c>
      <c r="C23" s="4">
        <v>13650</v>
      </c>
    </row>
    <row r="24" spans="1:3" x14ac:dyDescent="0.2">
      <c r="A24" s="3" t="s">
        <v>10</v>
      </c>
      <c r="B24" s="2" t="s">
        <v>23</v>
      </c>
      <c r="C24" s="4">
        <v>11700</v>
      </c>
    </row>
    <row r="25" spans="1:3" ht="34" customHeight="1" x14ac:dyDescent="0.2">
      <c r="A25" s="3" t="s">
        <v>10</v>
      </c>
      <c r="B25" s="2" t="s">
        <v>24</v>
      </c>
      <c r="C25" s="4">
        <v>11050</v>
      </c>
    </row>
    <row r="26" spans="1:3" x14ac:dyDescent="0.2">
      <c r="A26" s="3" t="s">
        <v>10</v>
      </c>
      <c r="B26" s="2" t="s">
        <v>25</v>
      </c>
      <c r="C26" s="4">
        <v>9100</v>
      </c>
    </row>
    <row r="27" spans="1:3" x14ac:dyDescent="0.2">
      <c r="A27" s="3" t="s">
        <v>10</v>
      </c>
      <c r="B27" s="2" t="s">
        <v>26</v>
      </c>
      <c r="C27" s="4">
        <v>13000</v>
      </c>
    </row>
    <row r="28" spans="1:3" x14ac:dyDescent="0.2">
      <c r="A28" s="3" t="s">
        <v>10</v>
      </c>
      <c r="B28" s="2" t="s">
        <v>27</v>
      </c>
      <c r="C28" s="4">
        <v>9100</v>
      </c>
    </row>
    <row r="29" spans="1:3" x14ac:dyDescent="0.2">
      <c r="A29" s="3" t="s">
        <v>10</v>
      </c>
      <c r="B29" s="2" t="s">
        <v>28</v>
      </c>
      <c r="C29" s="4">
        <v>8450</v>
      </c>
    </row>
    <row r="30" spans="1:3" x14ac:dyDescent="0.2">
      <c r="A30" s="3" t="s">
        <v>10</v>
      </c>
      <c r="B30" s="2" t="s">
        <v>29</v>
      </c>
      <c r="C30" s="4">
        <v>9100</v>
      </c>
    </row>
    <row r="31" spans="1:3" x14ac:dyDescent="0.2">
      <c r="A31" s="3" t="s">
        <v>30</v>
      </c>
      <c r="B31" s="2" t="s">
        <v>31</v>
      </c>
      <c r="C31" s="4">
        <v>13000</v>
      </c>
    </row>
    <row r="32" spans="1:3" x14ac:dyDescent="0.2">
      <c r="A32" s="3" t="s">
        <v>30</v>
      </c>
      <c r="B32" s="2" t="s">
        <v>32</v>
      </c>
      <c r="C32" s="4">
        <v>13000</v>
      </c>
    </row>
    <row r="33" spans="1:3" x14ac:dyDescent="0.2">
      <c r="A33" s="3" t="s">
        <v>30</v>
      </c>
      <c r="B33" s="2" t="s">
        <v>33</v>
      </c>
      <c r="C33" s="4">
        <v>13000</v>
      </c>
    </row>
    <row r="34" spans="1:3" x14ac:dyDescent="0.2">
      <c r="A34" s="3" t="s">
        <v>30</v>
      </c>
      <c r="B34" s="2" t="s">
        <v>34</v>
      </c>
      <c r="C34" s="4">
        <v>13000</v>
      </c>
    </row>
    <row r="35" spans="1:3" x14ac:dyDescent="0.2">
      <c r="A35" s="7" t="s">
        <v>30</v>
      </c>
      <c r="B35" s="8" t="s">
        <v>35</v>
      </c>
      <c r="C35" s="4">
        <v>13000</v>
      </c>
    </row>
  </sheetData>
  <phoneticPr fontId="1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A5B1-F0E7-C247-BBC5-5F5FA1946ECF}">
  <dimension ref="A1:F35"/>
  <sheetViews>
    <sheetView tabSelected="1" topLeftCell="B1" workbookViewId="0">
      <selection activeCell="H7" sqref="H7"/>
    </sheetView>
  </sheetViews>
  <sheetFormatPr baseColWidth="10" defaultRowHeight="16" x14ac:dyDescent="0.2"/>
  <cols>
    <col min="2" max="2" width="15.1640625" customWidth="1"/>
    <col min="3" max="3" width="11.33203125" customWidth="1"/>
  </cols>
  <sheetData>
    <row r="1" spans="1:6" x14ac:dyDescent="0.2">
      <c r="A1" t="s">
        <v>36</v>
      </c>
      <c r="B1" t="s">
        <v>0</v>
      </c>
      <c r="C1" t="s">
        <v>56</v>
      </c>
    </row>
    <row r="2" spans="1:6" x14ac:dyDescent="0.2">
      <c r="A2" t="s">
        <v>1</v>
      </c>
      <c r="B2" t="s">
        <v>2</v>
      </c>
      <c r="C2" s="1">
        <v>13845</v>
      </c>
    </row>
    <row r="3" spans="1:6" x14ac:dyDescent="0.2">
      <c r="A3" t="s">
        <v>1</v>
      </c>
      <c r="B3" t="s">
        <v>37</v>
      </c>
      <c r="C3" s="1">
        <v>13845</v>
      </c>
    </row>
    <row r="4" spans="1:6" x14ac:dyDescent="0.2">
      <c r="A4" t="s">
        <v>1</v>
      </c>
      <c r="B4" t="s">
        <v>3</v>
      </c>
      <c r="C4" s="1">
        <v>13845</v>
      </c>
      <c r="F4" s="122" t="s">
        <v>290</v>
      </c>
    </row>
    <row r="5" spans="1:6" x14ac:dyDescent="0.2">
      <c r="A5" t="s">
        <v>1</v>
      </c>
      <c r="B5" t="s">
        <v>4</v>
      </c>
      <c r="C5" s="1">
        <v>13845</v>
      </c>
    </row>
    <row r="6" spans="1:6" x14ac:dyDescent="0.2">
      <c r="A6" t="s">
        <v>1</v>
      </c>
      <c r="B6" t="s">
        <v>5</v>
      </c>
      <c r="C6" s="1">
        <v>13845</v>
      </c>
    </row>
    <row r="7" spans="1:6" x14ac:dyDescent="0.2">
      <c r="A7" t="s">
        <v>1</v>
      </c>
      <c r="B7" t="s">
        <v>6</v>
      </c>
      <c r="C7" s="1">
        <v>13845</v>
      </c>
    </row>
    <row r="8" spans="1:6" x14ac:dyDescent="0.2">
      <c r="A8" t="s">
        <v>1</v>
      </c>
      <c r="B8" t="s">
        <v>7</v>
      </c>
      <c r="C8" s="1">
        <v>13845</v>
      </c>
    </row>
    <row r="9" spans="1:6" x14ac:dyDescent="0.2">
      <c r="A9" t="s">
        <v>1</v>
      </c>
      <c r="B9" t="s">
        <v>8</v>
      </c>
      <c r="C9" s="1">
        <v>13845</v>
      </c>
    </row>
    <row r="10" spans="1:6" x14ac:dyDescent="0.2">
      <c r="A10" t="s">
        <v>1</v>
      </c>
      <c r="B10" t="s">
        <v>9</v>
      </c>
      <c r="C10" s="1">
        <v>13845</v>
      </c>
    </row>
    <row r="11" spans="1:6" x14ac:dyDescent="0.2">
      <c r="A11" t="s">
        <v>38</v>
      </c>
      <c r="B11" t="s">
        <v>11</v>
      </c>
      <c r="C11" s="1">
        <v>13845</v>
      </c>
    </row>
    <row r="12" spans="1:6" x14ac:dyDescent="0.2">
      <c r="A12" t="s">
        <v>10</v>
      </c>
      <c r="B12" t="s">
        <v>12</v>
      </c>
      <c r="C12" s="1">
        <v>13845</v>
      </c>
    </row>
    <row r="13" spans="1:6" x14ac:dyDescent="0.2">
      <c r="A13" t="s">
        <v>10</v>
      </c>
      <c r="B13" t="s">
        <v>13</v>
      </c>
      <c r="C13" s="1">
        <v>13845</v>
      </c>
    </row>
    <row r="14" spans="1:6" x14ac:dyDescent="0.2">
      <c r="A14" t="s">
        <v>10</v>
      </c>
      <c r="B14" t="s">
        <v>14</v>
      </c>
      <c r="C14" s="1">
        <v>13845</v>
      </c>
    </row>
    <row r="15" spans="1:6" x14ac:dyDescent="0.2">
      <c r="A15" t="s">
        <v>10</v>
      </c>
      <c r="B15" t="s">
        <v>15</v>
      </c>
      <c r="C15" s="1">
        <v>13845</v>
      </c>
    </row>
    <row r="16" spans="1:6" x14ac:dyDescent="0.2">
      <c r="A16" t="s">
        <v>10</v>
      </c>
      <c r="B16" t="s">
        <v>39</v>
      </c>
      <c r="C16" s="1">
        <v>13845</v>
      </c>
    </row>
    <row r="17" spans="1:3" x14ac:dyDescent="0.2">
      <c r="A17" t="s">
        <v>10</v>
      </c>
      <c r="B17" t="s">
        <v>16</v>
      </c>
      <c r="C17" s="1">
        <v>13845</v>
      </c>
    </row>
    <row r="18" spans="1:3" x14ac:dyDescent="0.2">
      <c r="A18" t="s">
        <v>10</v>
      </c>
      <c r="B18" t="s">
        <v>17</v>
      </c>
      <c r="C18" s="1">
        <v>13845</v>
      </c>
    </row>
    <row r="19" spans="1:3" x14ac:dyDescent="0.2">
      <c r="A19" t="s">
        <v>10</v>
      </c>
      <c r="B19" t="s">
        <v>18</v>
      </c>
      <c r="C19" s="1">
        <v>13845</v>
      </c>
    </row>
    <row r="20" spans="1:3" x14ac:dyDescent="0.2">
      <c r="A20" t="s">
        <v>10</v>
      </c>
      <c r="B20" t="s">
        <v>19</v>
      </c>
      <c r="C20" s="1">
        <v>13845</v>
      </c>
    </row>
    <row r="21" spans="1:3" x14ac:dyDescent="0.2">
      <c r="A21" t="s">
        <v>10</v>
      </c>
      <c r="B21" t="s">
        <v>20</v>
      </c>
      <c r="C21" s="1">
        <v>13845</v>
      </c>
    </row>
    <row r="22" spans="1:3" x14ac:dyDescent="0.2">
      <c r="A22" t="s">
        <v>10</v>
      </c>
      <c r="B22" t="s">
        <v>21</v>
      </c>
      <c r="C22" s="1">
        <v>13845</v>
      </c>
    </row>
    <row r="23" spans="1:3" x14ac:dyDescent="0.2">
      <c r="A23" t="s">
        <v>10</v>
      </c>
      <c r="B23" t="s">
        <v>22</v>
      </c>
      <c r="C23" s="1">
        <v>13845</v>
      </c>
    </row>
    <row r="24" spans="1:3" x14ac:dyDescent="0.2">
      <c r="A24" t="s">
        <v>10</v>
      </c>
      <c r="B24" t="s">
        <v>23</v>
      </c>
      <c r="C24" s="1">
        <v>13845</v>
      </c>
    </row>
    <row r="25" spans="1:3" x14ac:dyDescent="0.2">
      <c r="A25" t="s">
        <v>10</v>
      </c>
      <c r="B25" t="s">
        <v>24</v>
      </c>
      <c r="C25" s="1">
        <v>13845</v>
      </c>
    </row>
    <row r="26" spans="1:3" x14ac:dyDescent="0.2">
      <c r="A26" t="s">
        <v>10</v>
      </c>
      <c r="B26" t="s">
        <v>25</v>
      </c>
      <c r="C26" s="1">
        <v>13845</v>
      </c>
    </row>
    <row r="27" spans="1:3" x14ac:dyDescent="0.2">
      <c r="A27" t="s">
        <v>10</v>
      </c>
      <c r="B27" t="s">
        <v>26</v>
      </c>
      <c r="C27" s="1">
        <v>13845</v>
      </c>
    </row>
    <row r="28" spans="1:3" x14ac:dyDescent="0.2">
      <c r="A28" t="s">
        <v>10</v>
      </c>
      <c r="B28" t="s">
        <v>27</v>
      </c>
      <c r="C28" s="1">
        <v>13845</v>
      </c>
    </row>
    <row r="29" spans="1:3" x14ac:dyDescent="0.2">
      <c r="A29" t="s">
        <v>10</v>
      </c>
      <c r="B29" t="s">
        <v>28</v>
      </c>
      <c r="C29" s="1">
        <v>13845</v>
      </c>
    </row>
    <row r="30" spans="1:3" x14ac:dyDescent="0.2">
      <c r="A30" t="s">
        <v>10</v>
      </c>
      <c r="B30" t="s">
        <v>29</v>
      </c>
      <c r="C30" s="1">
        <v>13845</v>
      </c>
    </row>
    <row r="31" spans="1:3" x14ac:dyDescent="0.2">
      <c r="A31" t="s">
        <v>30</v>
      </c>
      <c r="B31" t="s">
        <v>31</v>
      </c>
      <c r="C31" s="1">
        <v>13845</v>
      </c>
    </row>
    <row r="32" spans="1:3" x14ac:dyDescent="0.2">
      <c r="A32" t="s">
        <v>30</v>
      </c>
      <c r="B32" t="s">
        <v>32</v>
      </c>
      <c r="C32" s="1">
        <v>13845</v>
      </c>
    </row>
    <row r="33" spans="1:3" x14ac:dyDescent="0.2">
      <c r="A33" t="s">
        <v>30</v>
      </c>
      <c r="B33" t="s">
        <v>33</v>
      </c>
      <c r="C33" s="1">
        <v>13845</v>
      </c>
    </row>
    <row r="34" spans="1:3" x14ac:dyDescent="0.2">
      <c r="A34" t="s">
        <v>30</v>
      </c>
      <c r="B34" t="s">
        <v>34</v>
      </c>
      <c r="C34" s="1">
        <v>13845</v>
      </c>
    </row>
    <row r="35" spans="1:3" x14ac:dyDescent="0.2">
      <c r="A35" t="s">
        <v>30</v>
      </c>
      <c r="B35" t="s">
        <v>35</v>
      </c>
      <c r="C35" s="1">
        <v>13845</v>
      </c>
    </row>
  </sheetData>
  <phoneticPr fontId="1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B5952-D445-4545-B05F-55008C10041E}">
  <dimension ref="A1:L12"/>
  <sheetViews>
    <sheetView workbookViewId="0">
      <selection activeCell="C21" sqref="C21"/>
    </sheetView>
  </sheetViews>
  <sheetFormatPr baseColWidth="10" defaultRowHeight="16" x14ac:dyDescent="0.2"/>
  <cols>
    <col min="1" max="1" width="14.6640625" customWidth="1"/>
    <col min="2" max="2" width="16.33203125" customWidth="1"/>
    <col min="3" max="3" width="16.1640625" customWidth="1"/>
    <col min="4" max="4" width="21.6640625" customWidth="1"/>
    <col min="5" max="5" width="20" customWidth="1"/>
    <col min="6" max="7" width="18.33203125" customWidth="1"/>
    <col min="8" max="8" width="16.83203125" customWidth="1"/>
    <col min="9" max="11" width="0" hidden="1" customWidth="1"/>
    <col min="12" max="12" width="0.5" hidden="1" customWidth="1"/>
  </cols>
  <sheetData>
    <row r="1" spans="1:12" ht="22" x14ac:dyDescent="0.3">
      <c r="A1" s="117" t="s">
        <v>48</v>
      </c>
      <c r="B1" s="118" t="s">
        <v>49</v>
      </c>
      <c r="C1" s="118" t="s">
        <v>50</v>
      </c>
      <c r="D1" s="118" t="s">
        <v>51</v>
      </c>
      <c r="E1" s="118" t="s">
        <v>52</v>
      </c>
      <c r="F1" s="118" t="s">
        <v>53</v>
      </c>
      <c r="G1" s="118" t="s">
        <v>54</v>
      </c>
      <c r="H1" s="118" t="s">
        <v>55</v>
      </c>
      <c r="I1" s="6" t="s">
        <v>84</v>
      </c>
      <c r="J1" s="6" t="s">
        <v>83</v>
      </c>
      <c r="K1" s="6" t="s">
        <v>82</v>
      </c>
      <c r="L1" s="11" t="s">
        <v>85</v>
      </c>
    </row>
    <row r="2" spans="1:12" ht="22" x14ac:dyDescent="0.3">
      <c r="A2" s="123">
        <v>0</v>
      </c>
      <c r="B2" s="124">
        <v>50</v>
      </c>
      <c r="C2" s="119">
        <v>195000</v>
      </c>
      <c r="D2" s="119">
        <v>299000</v>
      </c>
      <c r="E2" s="119">
        <v>325000</v>
      </c>
      <c r="F2" s="119">
        <v>7475</v>
      </c>
      <c r="G2" s="119">
        <v>11700</v>
      </c>
      <c r="H2" s="119">
        <v>26000</v>
      </c>
      <c r="I2" s="94" t="s">
        <v>73</v>
      </c>
      <c r="J2" s="94">
        <v>100000</v>
      </c>
      <c r="K2" s="94">
        <v>5500</v>
      </c>
      <c r="L2" s="95">
        <v>12000</v>
      </c>
    </row>
    <row r="3" spans="1:12" ht="22" x14ac:dyDescent="0.3">
      <c r="A3" s="123">
        <v>51</v>
      </c>
      <c r="B3" s="124">
        <v>100</v>
      </c>
      <c r="C3" s="120">
        <v>487500</v>
      </c>
      <c r="D3" s="120">
        <v>656500</v>
      </c>
      <c r="E3" s="120">
        <v>682500</v>
      </c>
      <c r="F3" s="120">
        <v>22100</v>
      </c>
      <c r="G3" s="120">
        <v>35100</v>
      </c>
      <c r="H3" s="120">
        <v>52650</v>
      </c>
      <c r="I3" s="94" t="s">
        <v>74</v>
      </c>
      <c r="J3" s="94">
        <v>150000</v>
      </c>
      <c r="K3" s="94" t="s">
        <v>78</v>
      </c>
      <c r="L3" s="95">
        <v>20000</v>
      </c>
    </row>
    <row r="4" spans="1:12" ht="28" customHeight="1" x14ac:dyDescent="0.3">
      <c r="A4" s="123">
        <v>101</v>
      </c>
      <c r="B4" s="124">
        <v>250</v>
      </c>
      <c r="C4" s="119">
        <v>1105000</v>
      </c>
      <c r="D4" s="119">
        <v>1469000</v>
      </c>
      <c r="E4" s="119">
        <v>1495000</v>
      </c>
      <c r="F4" s="119">
        <v>31850</v>
      </c>
      <c r="G4" s="119">
        <v>58500</v>
      </c>
      <c r="H4" s="119">
        <v>93600</v>
      </c>
      <c r="I4" s="94" t="s">
        <v>75</v>
      </c>
      <c r="J4" s="94">
        <v>300000</v>
      </c>
      <c r="K4" s="94" t="s">
        <v>79</v>
      </c>
      <c r="L4" s="95">
        <v>38000</v>
      </c>
    </row>
    <row r="5" spans="1:12" ht="28" customHeight="1" x14ac:dyDescent="0.3">
      <c r="A5" s="123">
        <v>251</v>
      </c>
      <c r="B5" s="124">
        <v>500</v>
      </c>
      <c r="C5" s="120">
        <v>2080000</v>
      </c>
      <c r="D5" s="120">
        <v>2808000</v>
      </c>
      <c r="E5" s="120">
        <v>2860000</v>
      </c>
      <c r="F5" s="120">
        <v>97500</v>
      </c>
      <c r="G5" s="120">
        <v>132600</v>
      </c>
      <c r="H5" s="120">
        <v>195000</v>
      </c>
      <c r="I5" s="94" t="s">
        <v>76</v>
      </c>
      <c r="J5" s="94">
        <v>600000</v>
      </c>
      <c r="K5" s="94" t="s">
        <v>80</v>
      </c>
      <c r="L5" s="95">
        <v>75000</v>
      </c>
    </row>
    <row r="6" spans="1:12" ht="33" customHeight="1" x14ac:dyDescent="0.3">
      <c r="A6" s="125">
        <v>501</v>
      </c>
      <c r="B6" s="126">
        <v>1000</v>
      </c>
      <c r="C6" s="121">
        <v>4160000</v>
      </c>
      <c r="D6" s="121">
        <v>5499000</v>
      </c>
      <c r="E6" s="121">
        <v>5590000</v>
      </c>
      <c r="F6" s="121">
        <v>247000</v>
      </c>
      <c r="G6" s="121">
        <v>338000</v>
      </c>
      <c r="H6" s="121">
        <v>409500</v>
      </c>
      <c r="I6" s="96" t="s">
        <v>77</v>
      </c>
      <c r="J6" s="96">
        <v>1100000</v>
      </c>
      <c r="K6" s="96" t="s">
        <v>81</v>
      </c>
      <c r="L6" s="97">
        <v>135000</v>
      </c>
    </row>
    <row r="8" spans="1:12" x14ac:dyDescent="0.2">
      <c r="D8" s="45"/>
      <c r="E8" s="45"/>
    </row>
    <row r="9" spans="1:12" x14ac:dyDescent="0.2">
      <c r="B9" s="122" t="s">
        <v>290</v>
      </c>
      <c r="D9" s="45"/>
      <c r="E9" s="45"/>
    </row>
    <row r="10" spans="1:12" x14ac:dyDescent="0.2">
      <c r="D10" s="45"/>
      <c r="E10" s="45"/>
    </row>
    <row r="11" spans="1:12" x14ac:dyDescent="0.2">
      <c r="D11" s="45"/>
      <c r="E11" s="45"/>
    </row>
    <row r="12" spans="1:12" x14ac:dyDescent="0.2">
      <c r="D12" s="45"/>
      <c r="E12" s="4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B522-9BB5-6F4C-992B-482F91DAE5F2}">
  <dimension ref="A1:G20"/>
  <sheetViews>
    <sheetView workbookViewId="0">
      <selection activeCell="G34" sqref="G34"/>
    </sheetView>
  </sheetViews>
  <sheetFormatPr baseColWidth="10" defaultRowHeight="16" x14ac:dyDescent="0.2"/>
  <sheetData>
    <row r="1" spans="1:7" x14ac:dyDescent="0.2">
      <c r="A1">
        <v>50</v>
      </c>
      <c r="D1" t="s">
        <v>1</v>
      </c>
      <c r="G1" t="s">
        <v>40</v>
      </c>
    </row>
    <row r="2" spans="1:7" x14ac:dyDescent="0.2">
      <c r="A2">
        <f>A1+50</f>
        <v>100</v>
      </c>
      <c r="D2" t="s">
        <v>10</v>
      </c>
      <c r="G2" t="s">
        <v>41</v>
      </c>
    </row>
    <row r="3" spans="1:7" x14ac:dyDescent="0.2">
      <c r="A3">
        <f t="shared" ref="A3:A20" si="0">A2+50</f>
        <v>150</v>
      </c>
      <c r="D3" t="s">
        <v>30</v>
      </c>
      <c r="G3" t="s">
        <v>43</v>
      </c>
    </row>
    <row r="4" spans="1:7" x14ac:dyDescent="0.2">
      <c r="A4">
        <f t="shared" si="0"/>
        <v>200</v>
      </c>
    </row>
    <row r="5" spans="1:7" x14ac:dyDescent="0.2">
      <c r="A5">
        <f t="shared" si="0"/>
        <v>250</v>
      </c>
    </row>
    <row r="6" spans="1:7" x14ac:dyDescent="0.2">
      <c r="A6">
        <f t="shared" si="0"/>
        <v>300</v>
      </c>
    </row>
    <row r="7" spans="1:7" x14ac:dyDescent="0.2">
      <c r="A7">
        <f t="shared" si="0"/>
        <v>350</v>
      </c>
    </row>
    <row r="8" spans="1:7" x14ac:dyDescent="0.2">
      <c r="A8">
        <f t="shared" si="0"/>
        <v>400</v>
      </c>
    </row>
    <row r="9" spans="1:7" x14ac:dyDescent="0.2">
      <c r="A9">
        <f t="shared" si="0"/>
        <v>450</v>
      </c>
    </row>
    <row r="10" spans="1:7" x14ac:dyDescent="0.2">
      <c r="A10">
        <f t="shared" si="0"/>
        <v>500</v>
      </c>
    </row>
    <row r="11" spans="1:7" x14ac:dyDescent="0.2">
      <c r="A11">
        <f t="shared" si="0"/>
        <v>550</v>
      </c>
    </row>
    <row r="12" spans="1:7" x14ac:dyDescent="0.2">
      <c r="A12">
        <f t="shared" si="0"/>
        <v>600</v>
      </c>
    </row>
    <row r="13" spans="1:7" x14ac:dyDescent="0.2">
      <c r="A13">
        <f t="shared" si="0"/>
        <v>650</v>
      </c>
    </row>
    <row r="14" spans="1:7" x14ac:dyDescent="0.2">
      <c r="A14">
        <f t="shared" si="0"/>
        <v>700</v>
      </c>
    </row>
    <row r="15" spans="1:7" x14ac:dyDescent="0.2">
      <c r="A15">
        <f t="shared" si="0"/>
        <v>750</v>
      </c>
    </row>
    <row r="16" spans="1:7" x14ac:dyDescent="0.2">
      <c r="A16">
        <f t="shared" si="0"/>
        <v>800</v>
      </c>
    </row>
    <row r="17" spans="1:1" x14ac:dyDescent="0.2">
      <c r="A17">
        <f t="shared" si="0"/>
        <v>850</v>
      </c>
    </row>
    <row r="18" spans="1:1" x14ac:dyDescent="0.2">
      <c r="A18">
        <f t="shared" si="0"/>
        <v>900</v>
      </c>
    </row>
    <row r="19" spans="1:1" x14ac:dyDescent="0.2">
      <c r="A19">
        <f t="shared" si="0"/>
        <v>950</v>
      </c>
    </row>
    <row r="20" spans="1:1" x14ac:dyDescent="0.2">
      <c r="A20">
        <f t="shared" si="0"/>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A4AF6-499E-5346-BCEB-05FBDDA9C1A2}">
  <dimension ref="A1:W35"/>
  <sheetViews>
    <sheetView workbookViewId="0">
      <selection activeCell="R27" sqref="R27"/>
    </sheetView>
  </sheetViews>
  <sheetFormatPr baseColWidth="10" defaultRowHeight="16" x14ac:dyDescent="0.2"/>
  <cols>
    <col min="2" max="2" width="14.6640625" customWidth="1"/>
    <col min="5" max="5" width="14" customWidth="1"/>
    <col min="10" max="10" width="17" customWidth="1"/>
    <col min="19" max="19" width="20" customWidth="1"/>
    <col min="20" max="20" width="37" customWidth="1"/>
    <col min="21" max="21" width="16.6640625" customWidth="1"/>
    <col min="22" max="22" width="27.83203125" customWidth="1"/>
  </cols>
  <sheetData>
    <row r="1" spans="1:23" x14ac:dyDescent="0.2">
      <c r="A1" s="5" t="s">
        <v>36</v>
      </c>
      <c r="B1" s="11" t="s">
        <v>0</v>
      </c>
      <c r="D1" t="s">
        <v>1</v>
      </c>
      <c r="E1" t="s">
        <v>10</v>
      </c>
      <c r="F1" t="s">
        <v>30</v>
      </c>
    </row>
    <row r="2" spans="1:23" x14ac:dyDescent="0.2">
      <c r="A2" s="3" t="s">
        <v>1</v>
      </c>
      <c r="B2" s="12" t="s">
        <v>2</v>
      </c>
      <c r="D2" s="2" t="s">
        <v>2</v>
      </c>
      <c r="E2" s="2" t="s">
        <v>11</v>
      </c>
      <c r="F2" s="2" t="s">
        <v>31</v>
      </c>
      <c r="J2" t="s">
        <v>44</v>
      </c>
      <c r="K2">
        <v>85</v>
      </c>
    </row>
    <row r="3" spans="1:23" x14ac:dyDescent="0.2">
      <c r="A3" s="3" t="s">
        <v>1</v>
      </c>
      <c r="B3" s="12" t="s">
        <v>37</v>
      </c>
      <c r="D3" s="2" t="s">
        <v>37</v>
      </c>
      <c r="E3" s="2" t="s">
        <v>12</v>
      </c>
      <c r="F3" s="2" t="s">
        <v>32</v>
      </c>
      <c r="J3" t="s">
        <v>45</v>
      </c>
      <c r="K3">
        <v>120</v>
      </c>
    </row>
    <row r="4" spans="1:23" x14ac:dyDescent="0.2">
      <c r="A4" s="3" t="s">
        <v>1</v>
      </c>
      <c r="B4" s="12" t="s">
        <v>3</v>
      </c>
      <c r="D4" s="2" t="s">
        <v>3</v>
      </c>
      <c r="E4" s="2" t="s">
        <v>13</v>
      </c>
      <c r="F4" s="2" t="s">
        <v>33</v>
      </c>
    </row>
    <row r="5" spans="1:23" x14ac:dyDescent="0.2">
      <c r="A5" s="3" t="s">
        <v>1</v>
      </c>
      <c r="B5" s="12" t="s">
        <v>4</v>
      </c>
      <c r="D5" s="2" t="s">
        <v>4</v>
      </c>
      <c r="E5" s="2" t="s">
        <v>14</v>
      </c>
      <c r="F5" s="2" t="s">
        <v>34</v>
      </c>
    </row>
    <row r="6" spans="1:23" x14ac:dyDescent="0.2">
      <c r="A6" s="3" t="s">
        <v>1</v>
      </c>
      <c r="B6" s="12" t="s">
        <v>5</v>
      </c>
      <c r="D6" s="2" t="s">
        <v>5</v>
      </c>
      <c r="E6" s="2" t="s">
        <v>15</v>
      </c>
      <c r="F6" s="2" t="s">
        <v>35</v>
      </c>
    </row>
    <row r="7" spans="1:23" x14ac:dyDescent="0.2">
      <c r="A7" s="3" t="s">
        <v>1</v>
      </c>
      <c r="B7" s="12" t="s">
        <v>6</v>
      </c>
      <c r="D7" s="2" t="s">
        <v>6</v>
      </c>
      <c r="E7" s="2" t="s">
        <v>39</v>
      </c>
    </row>
    <row r="8" spans="1:23" x14ac:dyDescent="0.2">
      <c r="A8" s="3" t="s">
        <v>1</v>
      </c>
      <c r="B8" s="12" t="s">
        <v>7</v>
      </c>
      <c r="D8" s="2" t="s">
        <v>7</v>
      </c>
      <c r="E8" s="2" t="s">
        <v>16</v>
      </c>
    </row>
    <row r="9" spans="1:23" x14ac:dyDescent="0.2">
      <c r="A9" s="3" t="s">
        <v>1</v>
      </c>
      <c r="B9" s="12" t="s">
        <v>8</v>
      </c>
      <c r="D9" s="2" t="s">
        <v>8</v>
      </c>
      <c r="E9" s="2" t="s">
        <v>17</v>
      </c>
      <c r="S9" s="22"/>
    </row>
    <row r="10" spans="1:23" x14ac:dyDescent="0.2">
      <c r="A10" s="3" t="s">
        <v>1</v>
      </c>
      <c r="B10" s="12" t="s">
        <v>9</v>
      </c>
      <c r="D10" s="2" t="s">
        <v>9</v>
      </c>
      <c r="E10" s="2" t="s">
        <v>18</v>
      </c>
    </row>
    <row r="11" spans="1:23" x14ac:dyDescent="0.2">
      <c r="A11" s="3" t="s">
        <v>38</v>
      </c>
      <c r="B11" s="12" t="s">
        <v>11</v>
      </c>
      <c r="E11" s="2" t="s">
        <v>19</v>
      </c>
      <c r="S11" s="23"/>
      <c r="T11" s="23"/>
      <c r="U11" s="23"/>
      <c r="V11" s="23"/>
      <c r="W11" s="24"/>
    </row>
    <row r="12" spans="1:23" x14ac:dyDescent="0.2">
      <c r="A12" s="3" t="s">
        <v>10</v>
      </c>
      <c r="B12" s="12" t="s">
        <v>12</v>
      </c>
      <c r="E12" s="2" t="s">
        <v>20</v>
      </c>
      <c r="S12" s="23"/>
      <c r="T12" s="24"/>
      <c r="U12" s="24"/>
      <c r="V12" s="24"/>
      <c r="W12" s="24"/>
    </row>
    <row r="13" spans="1:23" x14ac:dyDescent="0.2">
      <c r="A13" s="3" t="s">
        <v>10</v>
      </c>
      <c r="B13" s="12" t="s">
        <v>13</v>
      </c>
      <c r="E13" s="2" t="s">
        <v>21</v>
      </c>
      <c r="S13" s="23"/>
      <c r="T13" s="24"/>
      <c r="U13" s="24"/>
      <c r="V13" s="24"/>
      <c r="W13" s="24"/>
    </row>
    <row r="14" spans="1:23" x14ac:dyDescent="0.2">
      <c r="A14" s="3" t="s">
        <v>10</v>
      </c>
      <c r="B14" s="12" t="s">
        <v>14</v>
      </c>
      <c r="E14" s="2" t="s">
        <v>22</v>
      </c>
      <c r="S14" s="23"/>
      <c r="T14" s="24"/>
      <c r="U14" s="24"/>
      <c r="V14" s="24"/>
      <c r="W14" s="24"/>
    </row>
    <row r="15" spans="1:23" x14ac:dyDescent="0.2">
      <c r="A15" s="3" t="s">
        <v>10</v>
      </c>
      <c r="B15" s="12" t="s">
        <v>15</v>
      </c>
      <c r="E15" s="2" t="s">
        <v>23</v>
      </c>
      <c r="S15" s="23"/>
      <c r="T15" s="24"/>
      <c r="U15" s="24"/>
      <c r="V15" s="24"/>
      <c r="W15" s="24"/>
    </row>
    <row r="16" spans="1:23" x14ac:dyDescent="0.2">
      <c r="A16" s="3" t="s">
        <v>10</v>
      </c>
      <c r="B16" s="12" t="s">
        <v>39</v>
      </c>
      <c r="E16" s="2" t="s">
        <v>24</v>
      </c>
      <c r="S16" s="23"/>
      <c r="T16" s="24"/>
      <c r="U16" s="24"/>
      <c r="V16" s="24"/>
      <c r="W16" s="24"/>
    </row>
    <row r="17" spans="1:23" x14ac:dyDescent="0.2">
      <c r="A17" s="3" t="s">
        <v>10</v>
      </c>
      <c r="B17" s="12" t="s">
        <v>16</v>
      </c>
      <c r="E17" s="2" t="s">
        <v>25</v>
      </c>
      <c r="S17" s="24"/>
      <c r="T17" s="24"/>
      <c r="U17" s="24"/>
      <c r="V17" s="24"/>
      <c r="W17" s="24"/>
    </row>
    <row r="18" spans="1:23" x14ac:dyDescent="0.2">
      <c r="A18" s="3" t="s">
        <v>10</v>
      </c>
      <c r="B18" s="12" t="s">
        <v>17</v>
      </c>
      <c r="E18" s="2" t="s">
        <v>26</v>
      </c>
      <c r="S18" s="22"/>
    </row>
    <row r="19" spans="1:23" x14ac:dyDescent="0.2">
      <c r="A19" s="3" t="s">
        <v>10</v>
      </c>
      <c r="B19" s="12" t="s">
        <v>18</v>
      </c>
      <c r="E19" s="2" t="s">
        <v>27</v>
      </c>
    </row>
    <row r="20" spans="1:23" x14ac:dyDescent="0.2">
      <c r="A20" s="3" t="s">
        <v>10</v>
      </c>
      <c r="B20" s="12" t="s">
        <v>19</v>
      </c>
      <c r="E20" s="2" t="s">
        <v>28</v>
      </c>
    </row>
    <row r="21" spans="1:23" x14ac:dyDescent="0.2">
      <c r="A21" s="3" t="s">
        <v>10</v>
      </c>
      <c r="B21" s="12" t="s">
        <v>20</v>
      </c>
      <c r="E21" s="2" t="s">
        <v>29</v>
      </c>
    </row>
    <row r="22" spans="1:23" x14ac:dyDescent="0.2">
      <c r="A22" s="3" t="s">
        <v>10</v>
      </c>
      <c r="B22" s="12" t="s">
        <v>21</v>
      </c>
    </row>
    <row r="23" spans="1:23" x14ac:dyDescent="0.2">
      <c r="A23" s="3" t="s">
        <v>10</v>
      </c>
      <c r="B23" s="12" t="s">
        <v>22</v>
      </c>
    </row>
    <row r="24" spans="1:23" x14ac:dyDescent="0.2">
      <c r="A24" s="3" t="s">
        <v>10</v>
      </c>
      <c r="B24" s="12" t="s">
        <v>23</v>
      </c>
    </row>
    <row r="25" spans="1:23" x14ac:dyDescent="0.2">
      <c r="A25" s="3" t="s">
        <v>10</v>
      </c>
      <c r="B25" s="12" t="s">
        <v>24</v>
      </c>
    </row>
    <row r="26" spans="1:23" x14ac:dyDescent="0.2">
      <c r="A26" s="3" t="s">
        <v>10</v>
      </c>
      <c r="B26" s="12" t="s">
        <v>25</v>
      </c>
    </row>
    <row r="27" spans="1:23" x14ac:dyDescent="0.2">
      <c r="A27" s="3" t="s">
        <v>10</v>
      </c>
      <c r="B27" s="12" t="s">
        <v>26</v>
      </c>
    </row>
    <row r="28" spans="1:23" x14ac:dyDescent="0.2">
      <c r="A28" s="3" t="s">
        <v>10</v>
      </c>
      <c r="B28" s="12" t="s">
        <v>27</v>
      </c>
    </row>
    <row r="29" spans="1:23" x14ac:dyDescent="0.2">
      <c r="A29" s="3" t="s">
        <v>10</v>
      </c>
      <c r="B29" s="12" t="s">
        <v>28</v>
      </c>
    </row>
    <row r="30" spans="1:23" x14ac:dyDescent="0.2">
      <c r="A30" s="3" t="s">
        <v>10</v>
      </c>
      <c r="B30" s="12" t="s">
        <v>29</v>
      </c>
    </row>
    <row r="31" spans="1:23" x14ac:dyDescent="0.2">
      <c r="A31" s="3" t="s">
        <v>30</v>
      </c>
      <c r="B31" s="12" t="s">
        <v>31</v>
      </c>
    </row>
    <row r="32" spans="1:23" x14ac:dyDescent="0.2">
      <c r="A32" s="3" t="s">
        <v>30</v>
      </c>
      <c r="B32" s="12" t="s">
        <v>32</v>
      </c>
    </row>
    <row r="33" spans="1:2" x14ac:dyDescent="0.2">
      <c r="A33" s="3" t="s">
        <v>30</v>
      </c>
      <c r="B33" s="12" t="s">
        <v>33</v>
      </c>
    </row>
    <row r="34" spans="1:2" x14ac:dyDescent="0.2">
      <c r="A34" s="3" t="s">
        <v>30</v>
      </c>
      <c r="B34" s="12" t="s">
        <v>34</v>
      </c>
    </row>
    <row r="35" spans="1:2" x14ac:dyDescent="0.2">
      <c r="A35" s="7" t="s">
        <v>30</v>
      </c>
      <c r="B35" s="10" t="s">
        <v>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6812-1B50-7B4F-B084-313A15E8875A}">
  <sheetPr>
    <tabColor theme="2"/>
  </sheetPr>
  <dimension ref="B1:AD16"/>
  <sheetViews>
    <sheetView showGridLines="0" zoomScale="90" zoomScaleNormal="90" workbookViewId="0">
      <selection activeCell="J7" sqref="J7"/>
    </sheetView>
  </sheetViews>
  <sheetFormatPr baseColWidth="10" defaultRowHeight="16" x14ac:dyDescent="0.2"/>
  <cols>
    <col min="1" max="1" width="10.83203125" customWidth="1"/>
    <col min="2" max="2" width="1" customWidth="1"/>
    <col min="3" max="3" width="34.33203125" customWidth="1"/>
    <col min="4" max="4" width="27.1640625" customWidth="1"/>
    <col min="5" max="6" width="0" hidden="1" customWidth="1"/>
    <col min="7" max="7" width="0.6640625" customWidth="1"/>
    <col min="8" max="8" width="6.1640625" customWidth="1"/>
    <col min="9" max="9" width="25.1640625" customWidth="1"/>
    <col min="10" max="10" width="57.1640625" style="25" customWidth="1"/>
    <col min="11" max="11" width="54.83203125" customWidth="1"/>
    <col min="12" max="12" width="61.1640625" customWidth="1"/>
  </cols>
  <sheetData>
    <row r="1" spans="2:30" ht="43" customHeight="1" thickBot="1" x14ac:dyDescent="0.4">
      <c r="I1" s="112" t="s">
        <v>72</v>
      </c>
      <c r="J1" s="112"/>
    </row>
    <row r="2" spans="2:30" ht="31" customHeight="1" thickBot="1" x14ac:dyDescent="0.4">
      <c r="B2" s="114" t="s">
        <v>86</v>
      </c>
      <c r="C2" s="115"/>
      <c r="D2" s="115"/>
      <c r="E2" s="115"/>
      <c r="F2" s="115"/>
      <c r="G2" s="116"/>
      <c r="I2" s="38" t="s">
        <v>62</v>
      </c>
      <c r="J2" s="38" t="s">
        <v>40</v>
      </c>
      <c r="K2" s="38" t="s">
        <v>41</v>
      </c>
      <c r="L2" s="38" t="s">
        <v>66</v>
      </c>
    </row>
    <row r="3" spans="2:30" ht="6" customHeight="1" thickBot="1" x14ac:dyDescent="0.3">
      <c r="B3" s="17"/>
      <c r="C3" s="17"/>
      <c r="D3" s="17"/>
      <c r="E3" s="17"/>
      <c r="F3" s="17"/>
      <c r="G3" s="17"/>
      <c r="I3" s="26"/>
      <c r="J3" s="27"/>
      <c r="K3" s="26"/>
      <c r="L3" s="26"/>
    </row>
    <row r="4" spans="2:30" ht="47" customHeight="1" x14ac:dyDescent="0.4">
      <c r="B4" s="17"/>
      <c r="C4" s="28" t="s">
        <v>46</v>
      </c>
      <c r="D4" s="29">
        <v>350</v>
      </c>
      <c r="G4" s="17"/>
      <c r="I4" s="39" t="s">
        <v>63</v>
      </c>
      <c r="J4" s="40" t="s">
        <v>69</v>
      </c>
      <c r="K4" s="40" t="s">
        <v>69</v>
      </c>
      <c r="L4" s="40" t="s">
        <v>69</v>
      </c>
    </row>
    <row r="5" spans="2:30" ht="100" x14ac:dyDescent="0.25">
      <c r="B5" s="17"/>
      <c r="C5" s="30" t="s">
        <v>0</v>
      </c>
      <c r="D5" s="31" t="s">
        <v>1</v>
      </c>
      <c r="G5" s="17"/>
      <c r="I5" s="39" t="s">
        <v>64</v>
      </c>
      <c r="J5" s="41" t="s">
        <v>90</v>
      </c>
      <c r="K5" s="41" t="s">
        <v>71</v>
      </c>
      <c r="L5" s="41" t="s">
        <v>71</v>
      </c>
      <c r="AD5" s="9"/>
    </row>
    <row r="6" spans="2:30" ht="40" x14ac:dyDescent="0.2">
      <c r="B6" s="17"/>
      <c r="C6" s="30" t="s">
        <v>47</v>
      </c>
      <c r="D6" s="31" t="s">
        <v>3</v>
      </c>
      <c r="G6" s="17"/>
      <c r="I6" s="39" t="s">
        <v>65</v>
      </c>
      <c r="J6" s="41" t="s">
        <v>70</v>
      </c>
      <c r="K6" s="41" t="s">
        <v>89</v>
      </c>
      <c r="L6" s="41" t="s">
        <v>88</v>
      </c>
    </row>
    <row r="7" spans="2:30" ht="100" x14ac:dyDescent="0.2">
      <c r="B7" s="17"/>
      <c r="C7" s="30" t="s">
        <v>42</v>
      </c>
      <c r="D7" s="32" t="s">
        <v>43</v>
      </c>
      <c r="G7" s="17"/>
      <c r="I7" s="39" t="s">
        <v>67</v>
      </c>
      <c r="J7" s="41" t="s">
        <v>272</v>
      </c>
      <c r="K7" s="41" t="s">
        <v>273</v>
      </c>
      <c r="L7" s="40" t="s">
        <v>274</v>
      </c>
    </row>
    <row r="8" spans="2:30" ht="13" customHeight="1" x14ac:dyDescent="0.25">
      <c r="B8" s="17"/>
      <c r="C8" s="19" t="s">
        <v>60</v>
      </c>
      <c r="D8" s="21">
        <f>SUM(AC12:AC15)</f>
        <v>13133250</v>
      </c>
      <c r="G8" s="17"/>
      <c r="I8" s="23"/>
    </row>
    <row r="9" spans="2:30" ht="57" customHeight="1" thickBot="1" x14ac:dyDescent="0.4">
      <c r="B9" s="17"/>
      <c r="C9" s="33" t="s">
        <v>87</v>
      </c>
      <c r="D9" s="43">
        <f>D8/D4/120/85</f>
        <v>3.6787815126050418</v>
      </c>
      <c r="G9" s="17"/>
      <c r="I9" s="113" t="s">
        <v>91</v>
      </c>
      <c r="J9" s="113"/>
      <c r="K9" s="113"/>
      <c r="L9" s="113"/>
    </row>
    <row r="10" spans="2:30" ht="19" x14ac:dyDescent="0.25">
      <c r="B10" s="17"/>
      <c r="C10" s="20"/>
      <c r="G10" s="17"/>
    </row>
    <row r="11" spans="2:30" ht="25" thickBot="1" x14ac:dyDescent="0.35">
      <c r="B11" s="17"/>
      <c r="C11" s="34" t="s">
        <v>61</v>
      </c>
      <c r="G11" s="17"/>
    </row>
    <row r="12" spans="2:30" ht="30" customHeight="1" x14ac:dyDescent="0.3">
      <c r="B12" s="17"/>
      <c r="C12" s="35" t="s">
        <v>57</v>
      </c>
      <c r="D12" s="13"/>
      <c r="E12" s="16" t="b">
        <v>1</v>
      </c>
      <c r="F12" s="16">
        <f>--E12</f>
        <v>1</v>
      </c>
      <c r="G12" s="18"/>
      <c r="AC12">
        <f>IF(RealEstate_On=0,0,
   _xlfn.XLOOKUP($D$6, Realestate_tbl[City], Realestate_tbl[Cost_INR_PM], 0) * $D$4)</f>
        <v>5232500</v>
      </c>
    </row>
    <row r="13" spans="2:30" ht="32" customHeight="1" x14ac:dyDescent="0.3">
      <c r="B13" s="17"/>
      <c r="C13" s="36" t="s">
        <v>58</v>
      </c>
      <c r="D13" s="14"/>
      <c r="E13" s="16" t="b">
        <v>1</v>
      </c>
      <c r="F13" s="16">
        <f t="shared" ref="F13:F15" si="0">--E13</f>
        <v>1</v>
      </c>
      <c r="G13" s="18"/>
      <c r="AC13">
        <f>IF(ITInfra_On=0,0,
   _xlfn.XLOOKUP($D$6, ITInfra_tbl[City], ITInfra_tbl[Cost_INR_PM], 0) * $D$4)</f>
        <v>4845750</v>
      </c>
    </row>
    <row r="14" spans="2:30" ht="30" customHeight="1" x14ac:dyDescent="0.3">
      <c r="B14" s="17"/>
      <c r="C14" s="36" t="s">
        <v>68</v>
      </c>
      <c r="D14" s="14"/>
      <c r="E14" s="16" t="b">
        <v>1</v>
      </c>
      <c r="F14" s="16">
        <f t="shared" si="0"/>
        <v>1</v>
      </c>
      <c r="G14" s="18"/>
      <c r="AC14" cm="1">
        <f t="array" ref="AC14">F14 * _xlfn.LET(
       _xlpm.col, CHOOSE(MATCH(TRIM($D$7), {"Basic","Premium","Advance"}, 0),
                   "Enab_Basic","Enab_Premium","Enab_Advance"),
       _xlfn.XLOOKUP($D$4,
               Plans_tbl[MaxHC],
               INDEX(Plans_tbl[],, MATCH(_xlpm.col, Plans_tbl[#Headers], 0)),
               "", 1) )</f>
        <v>2860000</v>
      </c>
    </row>
    <row r="15" spans="2:30" ht="38" customHeight="1" thickBot="1" x14ac:dyDescent="0.35">
      <c r="B15" s="17"/>
      <c r="C15" s="37" t="s">
        <v>59</v>
      </c>
      <c r="D15" s="15"/>
      <c r="E15" s="16" t="b">
        <v>1</v>
      </c>
      <c r="F15" s="16">
        <f t="shared" si="0"/>
        <v>1</v>
      </c>
      <c r="G15" s="18"/>
      <c r="AC15" cm="1">
        <f t="array" ref="AC15">IF(Tech_On=0,0,
   _xlfn.LET(
       _xlpm.planCol, CHOOSE(MATCH(TRIM($D$7), {"Basic","Premium","Advance"}, 0),
                       "Tech_Basic","Tech_Premium","Tech_Advance"),
       _xlfn.XLOOKUP($D$4,
               Plans_tbl[MaxHC],
               INDEX(Plans_tbl[], , MATCH(_xlpm.planCol, Plans_tbl[#Headers], 0)),
               0, 1)   ) )</f>
        <v>195000</v>
      </c>
    </row>
    <row r="16" spans="2:30" ht="5" customHeight="1" x14ac:dyDescent="0.2">
      <c r="B16" s="17"/>
      <c r="C16" s="17"/>
      <c r="D16" s="17"/>
      <c r="G16" s="17"/>
    </row>
  </sheetData>
  <mergeCells count="3">
    <mergeCell ref="I1:J1"/>
    <mergeCell ref="I9:L9"/>
    <mergeCell ref="B2:G2"/>
  </mergeCells>
  <dataValidations count="4">
    <dataValidation type="list" allowBlank="1" showInputMessage="1" showErrorMessage="1" sqref="D4" xr:uid="{FED14371-9568-F14B-86B0-E5CB7D14536A}">
      <formula1>Headcount_List</formula1>
    </dataValidation>
    <dataValidation type="list" allowBlank="1" showInputMessage="1" showErrorMessage="1" sqref="D5" xr:uid="{A62235B8-E964-1E4C-BE93-5EC21BA89BB7}">
      <formula1>Tier_List</formula1>
    </dataValidation>
    <dataValidation type="list" allowBlank="1" showInputMessage="1" showErrorMessage="1" sqref="D6" xr:uid="{A0253006-A249-6C49-AA08-3CA5806197DC}">
      <formula1>INDIRECT("Cities_"&amp;SUBSTITUTE($D$5," ",""))</formula1>
    </dataValidation>
    <dataValidation type="list" allowBlank="1" showInputMessage="1" showErrorMessage="1" sqref="D7" xr:uid="{23065406-2B17-4442-9CD9-7753058AD36A}">
      <formula1>Plan_List</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51" r:id="rId3" name="Check Box 7">
              <controlPr defaultSize="0" autoFill="0" autoLine="0" autoPict="0">
                <anchor moveWithCells="1">
                  <from>
                    <xdr:col>3</xdr:col>
                    <xdr:colOff>736600</xdr:colOff>
                    <xdr:row>12</xdr:row>
                    <xdr:rowOff>25400</xdr:rowOff>
                  </from>
                  <to>
                    <xdr:col>7</xdr:col>
                    <xdr:colOff>139700</xdr:colOff>
                    <xdr:row>12</xdr:row>
                    <xdr:rowOff>393700</xdr:rowOff>
                  </to>
                </anchor>
              </controlPr>
            </control>
          </mc:Choice>
        </mc:AlternateContent>
        <mc:AlternateContent xmlns:mc="http://schemas.openxmlformats.org/markup-compatibility/2006">
          <mc:Choice Requires="x14">
            <control shapeId="6152" r:id="rId4" name="Check Box 8">
              <controlPr defaultSize="0" autoFill="0" autoLine="0" autoPict="0">
                <anchor moveWithCells="1">
                  <from>
                    <xdr:col>3</xdr:col>
                    <xdr:colOff>736600</xdr:colOff>
                    <xdr:row>10</xdr:row>
                    <xdr:rowOff>279400</xdr:rowOff>
                  </from>
                  <to>
                    <xdr:col>7</xdr:col>
                    <xdr:colOff>330200</xdr:colOff>
                    <xdr:row>12</xdr:row>
                    <xdr:rowOff>50800</xdr:rowOff>
                  </to>
                </anchor>
              </controlPr>
            </control>
          </mc:Choice>
        </mc:AlternateContent>
        <mc:AlternateContent xmlns:mc="http://schemas.openxmlformats.org/markup-compatibility/2006">
          <mc:Choice Requires="x14">
            <control shapeId="6153" r:id="rId5" name="Check Box 9">
              <controlPr defaultSize="0" autoFill="0" autoLine="0" autoPict="0">
                <anchor moveWithCells="1">
                  <from>
                    <xdr:col>3</xdr:col>
                    <xdr:colOff>736600</xdr:colOff>
                    <xdr:row>12</xdr:row>
                    <xdr:rowOff>406400</xdr:rowOff>
                  </from>
                  <to>
                    <xdr:col>7</xdr:col>
                    <xdr:colOff>139700</xdr:colOff>
                    <xdr:row>13</xdr:row>
                    <xdr:rowOff>355600</xdr:rowOff>
                  </to>
                </anchor>
              </controlPr>
            </control>
          </mc:Choice>
        </mc:AlternateContent>
        <mc:AlternateContent xmlns:mc="http://schemas.openxmlformats.org/markup-compatibility/2006">
          <mc:Choice Requires="x14">
            <control shapeId="6154" r:id="rId6" name="Check Box 10">
              <controlPr defaultSize="0" autoFill="0" autoLine="0" autoPict="0">
                <anchor moveWithCells="1">
                  <from>
                    <xdr:col>3</xdr:col>
                    <xdr:colOff>723900</xdr:colOff>
                    <xdr:row>14</xdr:row>
                    <xdr:rowOff>12700</xdr:rowOff>
                  </from>
                  <to>
                    <xdr:col>7</xdr:col>
                    <xdr:colOff>127000</xdr:colOff>
                    <xdr:row>14</xdr:row>
                    <xdr:rowOff>393700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Real est (w o markup)</vt:lpstr>
      <vt:lpstr>IT infra w o markup</vt:lpstr>
      <vt:lpstr>Plans w o markup</vt:lpstr>
      <vt:lpstr>Real_Estate</vt:lpstr>
      <vt:lpstr>IT_Infra</vt:lpstr>
      <vt:lpstr>Plans</vt:lpstr>
      <vt:lpstr>Lists_Helper</vt:lpstr>
      <vt:lpstr>Lookup_Helper</vt:lpstr>
      <vt:lpstr>Calculator</vt:lpstr>
      <vt:lpstr>Cities_Tier1</vt:lpstr>
      <vt:lpstr>Cities_Tier2</vt:lpstr>
      <vt:lpstr>Cities_Tier3</vt:lpstr>
      <vt:lpstr>Enabling_INRpm</vt:lpstr>
      <vt:lpstr>Enabling_On</vt:lpstr>
      <vt:lpstr>Headcount_List</vt:lpstr>
      <vt:lpstr>HoursPM</vt:lpstr>
      <vt:lpstr>IT_Infra_INRpm</vt:lpstr>
      <vt:lpstr>ITInfra_On</vt:lpstr>
      <vt:lpstr>Plan_List</vt:lpstr>
      <vt:lpstr>Real_Estate_INRpm</vt:lpstr>
      <vt:lpstr>RealEstate_On</vt:lpstr>
      <vt:lpstr>Tech_On</vt:lpstr>
      <vt:lpstr>Technology_INRpm</vt:lpstr>
      <vt:lpstr>Tier_List</vt:lpstr>
      <vt:lpstr>USD_INR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 Pandey</dc:creator>
  <cp:lastModifiedBy>RICHA PANDEY</cp:lastModifiedBy>
  <dcterms:created xsi:type="dcterms:W3CDTF">2025-07-22T16:44:45Z</dcterms:created>
  <dcterms:modified xsi:type="dcterms:W3CDTF">2025-09-22T11:14:00Z</dcterms:modified>
</cp:coreProperties>
</file>